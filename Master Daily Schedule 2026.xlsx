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Sunday Day" sheetId="2" state="visible" r:id="rId2"/>
    <sheet name="Sunday Swing" sheetId="3" state="visible" r:id="rId3"/>
    <sheet name="Sunday Graveyard" sheetId="4" state="visible" r:id="rId4"/>
    <sheet name="Monday Day" sheetId="5" state="visible" r:id="rId5"/>
    <sheet name="Monday Swing" sheetId="6" state="visible" r:id="rId6"/>
    <sheet name="Monday Graveyard" sheetId="7" state="visible" r:id="rId7"/>
    <sheet name="Tuesday Day" sheetId="8" state="visible" r:id="rId8"/>
    <sheet name="Tuesday Swing" sheetId="9" state="visible" r:id="rId9"/>
    <sheet name="Tuesday Graveyard" sheetId="10" state="visible" r:id="rId10"/>
    <sheet name="Wednesday Day" sheetId="11" state="visible" r:id="rId11"/>
    <sheet name="Wednesday Swing" sheetId="12" state="visible" r:id="rId12"/>
    <sheet name="Wednesday Graveyard" sheetId="13" state="visible" r:id="rId13"/>
    <sheet name="Thursday Day" sheetId="14" state="visible" r:id="rId14"/>
    <sheet name="Thursday Swing" sheetId="15" state="visible" r:id="rId15"/>
    <sheet name="Thursday Graveyard" sheetId="16" state="visible" r:id="rId16"/>
    <sheet name="Friday Day" sheetId="17" state="visible" r:id="rId17"/>
    <sheet name="Friday Swing" sheetId="18" state="visible" r:id="rId18"/>
    <sheet name="Friday Graveyard" sheetId="19" state="visible" r:id="rId19"/>
    <sheet name="Saturday Day" sheetId="20" state="visible" r:id="rId20"/>
    <sheet name="Saturday Swing" sheetId="21" state="visible" r:id="rId21"/>
    <sheet name="Saturday Graveyard" sheetId="22" state="visible" r:id="rId22"/>
  </sheets>
  <definedNames>
    <definedName name="_xlnm.Print_Area" localSheetId="0">'Master'!$A$1:$T$51</definedName>
    <definedName name="_xlnm.Print_Area" localSheetId="1">'Sunday Day'!$A$1:$T$52</definedName>
    <definedName name="_xlnm.Print_Area" localSheetId="2">'Sunday Swing'!$A$1:$T$46</definedName>
    <definedName name="_xlnm.Print_Area" localSheetId="3">'Sunday Graveyard'!$A$1:$T$36</definedName>
    <definedName name="_xlnm.Print_Area" localSheetId="4">'Monday Day'!$A$1:$T$55</definedName>
    <definedName name="_xlnm.Print_Area" localSheetId="5">'Monday Swing'!$A$1:$T$40</definedName>
    <definedName name="_xlnm.Print_Area" localSheetId="6">'Monday Graveyard'!$A$1:$T$41</definedName>
    <definedName name="_xlnm.Print_Area" localSheetId="7">'Tuesday Day'!$A$1:$T$54</definedName>
    <definedName name="_xlnm.Print_Area" localSheetId="8">'Tuesday Swing'!$A$1:$T$44</definedName>
    <definedName name="_xlnm.Print_Area" localSheetId="9">'Tuesday Graveyard'!$A$1:$T$37</definedName>
    <definedName name="_xlnm.Print_Area" localSheetId="10">'Wednesday Day'!$A$1:$T$55</definedName>
    <definedName name="_xlnm.Print_Area" localSheetId="11">'Wednesday Swing'!$A$1:$T$45</definedName>
    <definedName name="_xlnm.Print_Area" localSheetId="12">'Wednesday Graveyard'!$A$1:$T$39</definedName>
    <definedName name="_xlnm.Print_Area" localSheetId="13">'Thursday Day'!$A$1:$T$52</definedName>
    <definedName name="_xlnm.Print_Area" localSheetId="14">'Thursday Swing'!$A$1:$T$42</definedName>
    <definedName name="_xlnm.Print_Area" localSheetId="15">'Thursday Graveyard'!$A$1:$T$37</definedName>
    <definedName name="_xlnm.Print_Area" localSheetId="16">'Friday Day'!$A$1:$T$51</definedName>
    <definedName name="_xlnm.Print_Area" localSheetId="17">'Friday Swing'!$A$1:$T$45</definedName>
    <definedName name="_xlnm.Print_Area" localSheetId="18">'Friday Graveyard'!$A$1:$T$36</definedName>
    <definedName name="_xlnm.Print_Area" localSheetId="19">'Saturday Day'!$A$1:$T$53</definedName>
    <definedName name="_xlnm.Print_Area" localSheetId="20">'Saturday Swing'!$A$1:$T$46</definedName>
    <definedName name="_xlnm.Print_Area" localSheetId="21">'Saturday Graveyard'!$A$1:$T$37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0&quot;:&quot;0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  <sz val="13"/>
    </font>
    <font>
      <name val="Arial"/>
      <b val="1"/>
      <sz val="8"/>
    </font>
    <font>
      <name val="Arial"/>
      <b val="1"/>
      <sz val="9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FFF00"/>
        <bgColor rgb="00FFFF00"/>
      </patternFill>
    </fill>
    <fill>
      <patternFill patternType="solid">
        <fgColor rgb="00BFBFBF"/>
        <bgColor rgb="00BFBFBF"/>
      </patternFill>
    </fill>
    <fill>
      <patternFill patternType="solid">
        <fgColor rgb="00C4D79B"/>
        <bgColor rgb="00C4D79B"/>
      </patternFill>
    </fill>
    <fill>
      <patternFill patternType="solid">
        <fgColor rgb="008DB4E2"/>
        <bgColor rgb="008DB4E2"/>
      </patternFill>
    </fill>
    <fill>
      <patternFill patternType="solid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T5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/>
      <c r="H7" s="3" t="inlineStr">
        <is>
          <t>DAY:</t>
        </is>
      </c>
      <c r="I7" s="3" t="inlineStr"/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/>
      <c r="D16" s="14" t="inlineStr"/>
      <c r="E16" s="14" t="inlineStr"/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/>
      <c r="N16" s="14" t="inlineStr"/>
      <c r="O16" s="14" t="inlineStr"/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/>
      <c r="D17" s="14" t="inlineStr"/>
      <c r="E17" s="14" t="inlineStr"/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/>
      <c r="D18" s="14" t="inlineStr"/>
      <c r="E18" s="14" t="inlineStr"/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/>
      <c r="N18" s="14" t="inlineStr"/>
      <c r="O18" s="14" t="inlineStr"/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/>
      <c r="D19" s="14" t="inlineStr"/>
      <c r="E19" s="14" t="inlineStr"/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/>
      <c r="D20" s="14" t="inlineStr"/>
      <c r="E20" s="14" t="inlineStr"/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/>
      <c r="D21" s="14" t="inlineStr"/>
      <c r="E21" s="14" t="inlineStr"/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/>
      <c r="D22" s="14" t="inlineStr"/>
      <c r="E22" s="14" t="inlineStr"/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/>
      <c r="D23" s="14" t="inlineStr"/>
      <c r="E23" s="14" t="inlineStr"/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/>
      <c r="D24" s="14" t="inlineStr"/>
      <c r="E24" s="14" t="inlineStr"/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/>
      <c r="D25" s="14" t="inlineStr"/>
      <c r="E25" s="14" t="inlineStr"/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/>
      <c r="D26" s="14" t="inlineStr"/>
      <c r="E26" s="14" t="inlineStr"/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/>
      <c r="D27" s="14" t="inlineStr"/>
      <c r="E27" s="14" t="inlineStr"/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6" t="inlineStr">
        <is>
          <t>BUS#</t>
        </is>
      </c>
      <c r="B28" s="6" t="inlineStr">
        <is>
          <t>Relief</t>
        </is>
      </c>
      <c r="C28" s="16" t="inlineStr">
        <is>
          <t>WEST LOT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6" t="inlineStr">
        <is>
          <t>BUS#</t>
        </is>
      </c>
      <c r="L28" s="6" t="inlineStr">
        <is>
          <t>Relief</t>
        </is>
      </c>
      <c r="M28" s="17" t="inlineStr">
        <is>
          <t>CBC</t>
        </is>
      </c>
      <c r="N28" s="6" t="inlineStr">
        <is>
          <t>Start Time</t>
        </is>
      </c>
      <c r="O28" s="6" t="inlineStr">
        <is>
          <t>End Time</t>
        </is>
      </c>
      <c r="P28" s="6" t="inlineStr">
        <is>
          <t>Hours</t>
        </is>
      </c>
      <c r="Q28" s="7" t="inlineStr">
        <is>
          <t>Trade Day</t>
        </is>
      </c>
      <c r="R28" s="7" t="inlineStr">
        <is>
          <t>Trade Day</t>
        </is>
      </c>
      <c r="S28" s="7" t="inlineStr">
        <is>
          <t>Overtime</t>
        </is>
      </c>
      <c r="T28" s="7" t="inlineStr">
        <is>
          <t>Trade Day</t>
        </is>
      </c>
    </row>
    <row r="29">
      <c r="A29" s="12" t="inlineStr"/>
      <c r="B29" s="12" t="inlineStr"/>
      <c r="C29" s="13" t="inlineStr"/>
      <c r="D29" s="14" t="inlineStr"/>
      <c r="E29" s="14" t="inlineStr"/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/>
      <c r="D30" s="14" t="inlineStr"/>
      <c r="E30" s="14" t="inlineStr"/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/>
      <c r="D31" s="14" t="inlineStr"/>
      <c r="E31" s="14" t="inlineStr"/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/>
      <c r="D32" s="14" t="inlineStr"/>
      <c r="E32" s="14" t="inlineStr"/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/>
      <c r="D33" s="14" t="inlineStr"/>
      <c r="E33" s="14" t="inlineStr"/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/>
      <c r="D34" s="14" t="inlineStr"/>
      <c r="E34" s="14" t="inlineStr"/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/>
      <c r="D35" s="14" t="inlineStr"/>
      <c r="E35" s="14" t="inlineStr"/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6" t="inlineStr">
        <is>
          <t>BUS#</t>
        </is>
      </c>
      <c r="L36" s="6" t="inlineStr">
        <is>
          <t>Relief</t>
        </is>
      </c>
      <c r="M36" s="19" t="inlineStr">
        <is>
          <t>BP LOT</t>
        </is>
      </c>
      <c r="N36" s="6" t="inlineStr">
        <is>
          <t>Start Time</t>
        </is>
      </c>
      <c r="O36" s="6" t="inlineStr">
        <is>
          <t>End Time</t>
        </is>
      </c>
      <c r="P36" s="6" t="inlineStr">
        <is>
          <t>Hours</t>
        </is>
      </c>
      <c r="Q36" s="7" t="inlineStr">
        <is>
          <t>Trade Day</t>
        </is>
      </c>
      <c r="R36" s="7" t="inlineStr">
        <is>
          <t>Trade Day</t>
        </is>
      </c>
      <c r="S36" s="7" t="inlineStr">
        <is>
          <t>Overtime</t>
        </is>
      </c>
      <c r="T36" s="7" t="inlineStr">
        <is>
          <t>Trade Day</t>
        </is>
      </c>
    </row>
    <row r="37">
      <c r="A37" s="12" t="inlineStr"/>
      <c r="B37" s="12" t="inlineStr"/>
      <c r="C37" s="13" t="inlineStr"/>
      <c r="D37" s="14" t="inlineStr"/>
      <c r="E37" s="14" t="inlineStr"/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/>
      <c r="D39" s="14" t="inlineStr"/>
      <c r="E39" s="14" t="inlineStr"/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12" t="inlineStr"/>
      <c r="B40" s="12" t="inlineStr"/>
      <c r="C40" s="13" t="inlineStr"/>
      <c r="D40" s="14" t="inlineStr"/>
      <c r="E40" s="14" t="inlineStr"/>
      <c r="F40" s="15">
        <f>IF(AND(D40&lt;&gt;"",E40&lt;&gt;""),INT(IF(E40&lt;D40,24+(INT(E40/100)+MOD(E40,100)/60)-(INT(D40/100)+MOD(D40,100)/60),(INT(E40/100)+MOD(E40,100)/60)-(INT(D40/100)+MOD(D40,100)/60))),"")</f>
        <v/>
      </c>
      <c r="G40" s="12" t="inlineStr"/>
      <c r="H40" s="12" t="inlineStr"/>
      <c r="I40" s="12" t="inlineStr"/>
      <c r="J40" s="12" t="inlineStr"/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/>
      <c r="D41" s="14" t="inlineStr"/>
      <c r="E41" s="14" t="inlineStr"/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/>
      <c r="D42" s="14" t="inlineStr"/>
      <c r="E42" s="14" t="inlineStr"/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/>
      <c r="D43" s="14" t="inlineStr"/>
      <c r="E43" s="14" t="inlineStr"/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/>
      <c r="D44" s="14" t="inlineStr"/>
      <c r="E44" s="14" t="inlineStr"/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6">
      <c r="A46" s="20" t="inlineStr">
        <is>
          <t>NOTES (CALL OFFS, INCIDENTS, OPERATIONAL CHANGES, DETOURS)</t>
        </is>
      </c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21" t="inlineStr">
        <is>
          <t>HOURS SCHEDULED:</t>
        </is>
      </c>
      <c r="B50" s="5" t="n"/>
      <c r="C50" s="5" t="n"/>
      <c r="D50" s="5" t="n"/>
      <c r="E50" s="22" t="n">
        <v>0</v>
      </c>
      <c r="F50" s="5" t="n"/>
      <c r="G50" s="21" t="inlineStr">
        <is>
          <t>ADDITIONAL HOURS:</t>
        </is>
      </c>
      <c r="H50" s="5" t="n"/>
      <c r="I50" s="5" t="n"/>
      <c r="J50" s="5" t="n"/>
      <c r="K50" s="5" t="n"/>
      <c r="L50" s="21" t="inlineStr">
        <is>
          <t>TOTAL HOURS:</t>
        </is>
      </c>
      <c r="M50" s="5" t="n"/>
      <c r="N50" s="5" t="n"/>
      <c r="O50" s="22" t="n">
        <v>0</v>
      </c>
      <c r="P50" s="5" t="n"/>
      <c r="Q50" s="5" t="n"/>
      <c r="R50" s="5" t="n"/>
      <c r="S50" s="5" t="n"/>
      <c r="T50" s="5" t="n"/>
    </row>
    <row r="51">
      <c r="A51" s="21" t="inlineStr">
        <is>
          <t>EXPECTED HOURS</t>
        </is>
      </c>
      <c r="B51" s="5" t="n"/>
      <c r="C51" s="5" t="n"/>
      <c r="D51" s="5" t="n"/>
      <c r="E51" s="22" t="n">
        <v>305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</sheetData>
  <mergeCells count="16">
    <mergeCell ref="A5:T5"/>
    <mergeCell ref="K9:T9"/>
    <mergeCell ref="K12:O12"/>
    <mergeCell ref="P12:T12"/>
    <mergeCell ref="A6:T6"/>
    <mergeCell ref="A46:J4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T5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Bush, Shayland</t>
        </is>
      </c>
      <c r="D16" s="14" t="n">
        <v>0</v>
      </c>
      <c r="E16" s="14" t="n">
        <v>830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Gunderson, Maria</t>
        </is>
      </c>
      <c r="N16" s="14" t="n">
        <v>800</v>
      </c>
      <c r="O16" s="14" t="n">
        <v>1630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Jones, Andre</t>
        </is>
      </c>
      <c r="N17" s="14" t="n">
        <v>1000</v>
      </c>
      <c r="O17" s="14" t="n">
        <v>1830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100</v>
      </c>
      <c r="E18" s="14" t="n">
        <v>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Skinner, Talieya</t>
        </is>
      </c>
      <c r="D19" s="14" t="n">
        <v>200</v>
      </c>
      <c r="E19" s="14" t="n">
        <v>1030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Soto, Guadalupe</t>
        </is>
      </c>
      <c r="D20" s="14" t="n">
        <v>200</v>
      </c>
      <c r="E20" s="14" t="n">
        <v>1030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Burton, Brandon</t>
        </is>
      </c>
      <c r="D21" s="14" t="n">
        <v>200</v>
      </c>
      <c r="E21" s="14" t="n">
        <v>1030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Moore, Gwendolyn</t>
        </is>
      </c>
      <c r="D22" s="14" t="n">
        <v>300</v>
      </c>
      <c r="E22" s="14" t="n">
        <v>1130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Keyes, Sean</t>
        </is>
      </c>
      <c r="N22" s="14" t="n">
        <v>100</v>
      </c>
      <c r="O22" s="14" t="n">
        <v>930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Kassa, Mekonnen</t>
        </is>
      </c>
      <c r="D23" s="14" t="n">
        <v>300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Paulk, Timmie</t>
        </is>
      </c>
      <c r="N23" s="14" t="n">
        <v>200</v>
      </c>
      <c r="O23" s="14" t="n">
        <v>1030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Aaron, Jonathan</t>
        </is>
      </c>
      <c r="D24" s="14" t="n">
        <v>400</v>
      </c>
      <c r="E24" s="14" t="n">
        <v>1230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Basham, Mackolia</t>
        </is>
      </c>
      <c r="N24" s="14" t="n">
        <v>300</v>
      </c>
      <c r="O24" s="14" t="n">
        <v>1130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Smith, Rhazon</t>
        </is>
      </c>
      <c r="D25" s="14" t="n">
        <v>400</v>
      </c>
      <c r="E25" s="14" t="n">
        <v>1130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Broaden, Louise</t>
        </is>
      </c>
      <c r="N25" s="14" t="n">
        <v>500</v>
      </c>
      <c r="O25" s="14" t="n">
        <v>1330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Osorio, Erik</t>
        </is>
      </c>
      <c r="D26" s="14" t="n">
        <v>500</v>
      </c>
      <c r="E26" s="14" t="n">
        <v>1330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Sherman, Regina</t>
        </is>
      </c>
      <c r="N26" s="14" t="n">
        <v>700</v>
      </c>
      <c r="O26" s="14" t="n">
        <v>1530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Sterling, Akie</t>
        </is>
      </c>
      <c r="D27" s="14" t="n">
        <v>500</v>
      </c>
      <c r="E27" s="14" t="n">
        <v>1330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Deshone, Sharion</t>
        </is>
      </c>
      <c r="N27" s="14" t="n">
        <v>800</v>
      </c>
      <c r="O27" s="14" t="n">
        <v>1530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Morgan, Andre</t>
        </is>
      </c>
      <c r="D28" s="14" t="n">
        <v>500</v>
      </c>
      <c r="E28" s="14" t="n">
        <v>1330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Powers, Helen</t>
        </is>
      </c>
      <c r="N28" s="14" t="n">
        <v>900</v>
      </c>
      <c r="O28" s="14" t="n">
        <v>1630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Mills, Hiram</t>
        </is>
      </c>
      <c r="D29" s="14" t="n">
        <v>600</v>
      </c>
      <c r="E29" s="14" t="n">
        <v>1230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Jackson, Rico</t>
        </is>
      </c>
      <c r="D30" s="14" t="n">
        <v>600</v>
      </c>
      <c r="E30" s="14" t="n">
        <v>1430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Ramos, Saul</t>
        </is>
      </c>
      <c r="D31" s="14" t="n">
        <v>700</v>
      </c>
      <c r="E31" s="14" t="n">
        <v>1530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Winters, Dominique</t>
        </is>
      </c>
      <c r="D32" s="14" t="n">
        <v>700</v>
      </c>
      <c r="E32" s="14" t="n">
        <v>1430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Pawnell, Felicia</t>
        </is>
      </c>
      <c r="D33" s="14" t="n">
        <v>800</v>
      </c>
      <c r="E33" s="14" t="n">
        <v>1630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Davis, Dominique</t>
        </is>
      </c>
      <c r="D34" s="14" t="n">
        <v>900</v>
      </c>
      <c r="E34" s="14" t="n">
        <v>1630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Carter, Karen</t>
        </is>
      </c>
      <c r="D35" s="14" t="n">
        <v>900</v>
      </c>
      <c r="E35" s="14" t="n">
        <v>1730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Saenz, Noel</t>
        </is>
      </c>
      <c r="D36" s="14" t="n">
        <v>1000</v>
      </c>
      <c r="E36" s="14" t="n">
        <v>1830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Moller, Baraat</t>
        </is>
      </c>
      <c r="D37" s="14" t="n">
        <v>1000</v>
      </c>
      <c r="E37" s="14" t="n">
        <v>1830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6" t="inlineStr">
        <is>
          <t>BUS#</t>
        </is>
      </c>
      <c r="B38" s="6" t="inlineStr">
        <is>
          <t>Relief</t>
        </is>
      </c>
      <c r="C38" s="16" t="inlineStr">
        <is>
          <t>WEST LOT</t>
        </is>
      </c>
      <c r="D38" s="6" t="inlineStr">
        <is>
          <t>Start Time</t>
        </is>
      </c>
      <c r="E38" s="6" t="inlineStr">
        <is>
          <t>End Time</t>
        </is>
      </c>
      <c r="F38" s="6" t="inlineStr">
        <is>
          <t>Hours</t>
        </is>
      </c>
      <c r="G38" s="7" t="inlineStr">
        <is>
          <t>Trade Day</t>
        </is>
      </c>
      <c r="H38" s="7" t="inlineStr">
        <is>
          <t>Trade Day</t>
        </is>
      </c>
      <c r="I38" s="7" t="inlineStr">
        <is>
          <t>Overtime</t>
        </is>
      </c>
      <c r="J38" s="7" t="inlineStr">
        <is>
          <t>Trade Day</t>
        </is>
      </c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Gonzalez, Maria</t>
        </is>
      </c>
      <c r="D39" s="14" t="n">
        <v>300</v>
      </c>
      <c r="E39" s="14" t="n">
        <v>1130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12" t="inlineStr"/>
      <c r="B40" s="12" t="inlineStr"/>
      <c r="C40" s="13" t="inlineStr">
        <is>
          <t>Adair Jr, Cleophus</t>
        </is>
      </c>
      <c r="D40" s="14" t="n">
        <v>700</v>
      </c>
      <c r="E40" s="14" t="n">
        <v>1330</v>
      </c>
      <c r="F40" s="15">
        <f>IF(AND(D40&lt;&gt;"",E40&lt;&gt;""),INT(IF(E40&lt;D40,24+(INT(E40/100)+MOD(E40,100)/60)-(INT(D40/100)+MOD(D40,100)/60),(INT(E40/100)+MOD(E40,100)/60)-(INT(D40/100)+MOD(D40,100)/60))),"")</f>
        <v/>
      </c>
      <c r="G40" s="12" t="inlineStr"/>
      <c r="H40" s="12" t="inlineStr"/>
      <c r="I40" s="12" t="inlineStr"/>
      <c r="J40" s="12" t="inlineStr"/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Simmons, Meyoshi</t>
        </is>
      </c>
      <c r="D41" s="14" t="n">
        <v>800</v>
      </c>
      <c r="E41" s="14" t="n">
        <v>1530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Mejia, Ernesto</t>
        </is>
      </c>
      <c r="D42" s="14" t="n">
        <v>1000</v>
      </c>
      <c r="E42" s="14" t="n">
        <v>1830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6" t="inlineStr">
        <is>
          <t>BUS#</t>
        </is>
      </c>
      <c r="B43" s="6" t="inlineStr">
        <is>
          <t>Relief</t>
        </is>
      </c>
      <c r="C43" s="18" t="inlineStr">
        <is>
          <t>BREAKER</t>
        </is>
      </c>
      <c r="D43" s="6" t="inlineStr">
        <is>
          <t>Start Time</t>
        </is>
      </c>
      <c r="E43" s="6" t="inlineStr">
        <is>
          <t>End Time</t>
        </is>
      </c>
      <c r="F43" s="6" t="inlineStr">
        <is>
          <t>Hours</t>
        </is>
      </c>
      <c r="G43" s="7" t="inlineStr">
        <is>
          <t>Trade Day</t>
        </is>
      </c>
      <c r="H43" s="7" t="inlineStr">
        <is>
          <t>Trade Day</t>
        </is>
      </c>
      <c r="I43" s="7" t="inlineStr">
        <is>
          <t>Overtime</t>
        </is>
      </c>
      <c r="J43" s="7" t="inlineStr">
        <is>
          <t>Trade Day</t>
        </is>
      </c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Robinson, Kameelah</t>
        </is>
      </c>
      <c r="D44" s="14" t="n">
        <v>600</v>
      </c>
      <c r="E44" s="14" t="n">
        <v>1430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12" t="inlineStr"/>
      <c r="B45" s="12" t="inlineStr"/>
      <c r="C45" s="13" t="inlineStr"/>
      <c r="D45" s="14" t="inlineStr"/>
      <c r="E45" s="14" t="inlineStr"/>
      <c r="F45" s="15">
        <f>IF(AND(D45&lt;&gt;"",E45&lt;&gt;""),INT(IF(E45&lt;D45,24+(INT(E45/100)+MOD(E45,100)/60)-(INT(D45/100)+MOD(D45,100)/60),(INT(E45/100)+MOD(E45,100)/60)-(INT(D45/100)+MOD(D45,100)/60))),"")</f>
        <v/>
      </c>
      <c r="G45" s="12" t="inlineStr"/>
      <c r="H45" s="12" t="inlineStr"/>
      <c r="I45" s="12" t="inlineStr"/>
      <c r="J45" s="12" t="inlineStr"/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7">
      <c r="A47" s="20" t="inlineStr">
        <is>
          <t>NOTES (CALL OFFS, INCIDENTS, OPERATIONAL CHANGES, DETOURS)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21" t="inlineStr">
        <is>
          <t>HOURS SCHEDULED:</t>
        </is>
      </c>
      <c r="B51" s="5" t="n"/>
      <c r="C51" s="5" t="n"/>
      <c r="D51" s="5" t="n"/>
      <c r="E51" s="22" t="n">
        <v>278</v>
      </c>
      <c r="F51" s="5" t="n"/>
      <c r="G51" s="21" t="inlineStr">
        <is>
          <t>ADDITIONAL HOURS:</t>
        </is>
      </c>
      <c r="H51" s="5" t="n"/>
      <c r="I51" s="5" t="n"/>
      <c r="J51" s="5" t="n"/>
      <c r="K51" s="5" t="n"/>
      <c r="L51" s="21" t="inlineStr">
        <is>
          <t>TOTAL HOURS:</t>
        </is>
      </c>
      <c r="M51" s="5" t="n"/>
      <c r="N51" s="5" t="n"/>
      <c r="O51" s="22" t="n">
        <v>278</v>
      </c>
      <c r="P51" s="5" t="n"/>
      <c r="Q51" s="5" t="n"/>
      <c r="R51" s="5" t="n"/>
      <c r="S51" s="5" t="n"/>
      <c r="T51" s="5" t="n"/>
    </row>
    <row r="52">
      <c r="A52" s="21" t="inlineStr">
        <is>
          <t>EXPECTED HOURS</t>
        </is>
      </c>
      <c r="B52" s="5" t="n"/>
      <c r="C52" s="5" t="n"/>
      <c r="D52" s="5" t="n"/>
      <c r="E52" s="22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16">
    <mergeCell ref="A5:T5"/>
    <mergeCell ref="A47:J47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T4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1100</v>
      </c>
      <c r="E16" s="14" t="n">
        <v>1730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Williams, Sarah</t>
        </is>
      </c>
      <c r="N16" s="14" t="n">
        <v>1200</v>
      </c>
      <c r="O16" s="14" t="n">
        <v>2030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1100</v>
      </c>
      <c r="E17" s="14" t="n">
        <v>1830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Le, Don</t>
        </is>
      </c>
      <c r="D18" s="14" t="n">
        <v>1300</v>
      </c>
      <c r="E18" s="14" t="n">
        <v>2130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Lee, Shenwu</t>
        </is>
      </c>
      <c r="D19" s="14" t="n">
        <v>1300</v>
      </c>
      <c r="E19" s="14" t="n">
        <v>2130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Lopez, Daniel</t>
        </is>
      </c>
      <c r="D20" s="14" t="n">
        <v>1400</v>
      </c>
      <c r="E20" s="14" t="n">
        <v>2230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Dixon, Shane</t>
        </is>
      </c>
      <c r="D21" s="14" t="n">
        <v>1400</v>
      </c>
      <c r="E21" s="14" t="n">
        <v>2230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Orrego, Tito</t>
        </is>
      </c>
      <c r="D22" s="14" t="n">
        <v>1400</v>
      </c>
      <c r="E22" s="14" t="n">
        <v>2230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Harris, Clarence</t>
        </is>
      </c>
      <c r="N22" s="14" t="n">
        <v>1100</v>
      </c>
      <c r="O22" s="14" t="n">
        <v>1930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Jacques, Maria</t>
        </is>
      </c>
      <c r="D23" s="14" t="n">
        <v>1500</v>
      </c>
      <c r="E23" s="14" t="n">
        <v>2330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Theus, Tieran</t>
        </is>
      </c>
      <c r="N23" s="14" t="n">
        <v>1300</v>
      </c>
      <c r="O23" s="14" t="n">
        <v>1930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1600</v>
      </c>
      <c r="E24" s="14" t="n">
        <v>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Green, Darnell</t>
        </is>
      </c>
      <c r="D25" s="14" t="n">
        <v>1600</v>
      </c>
      <c r="E25" s="14" t="n">
        <v>2100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Somoza, Jose</t>
        </is>
      </c>
      <c r="D26" s="14" t="n">
        <v>1700</v>
      </c>
      <c r="E26" s="14" t="n">
        <v>130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Shaffer, Tanesha</t>
        </is>
      </c>
      <c r="D27" s="14" t="n">
        <v>1700</v>
      </c>
      <c r="E27" s="14" t="n">
        <v>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Lee, Jaron</t>
        </is>
      </c>
      <c r="D28" s="14" t="n">
        <v>1700</v>
      </c>
      <c r="E28" s="14" t="n">
        <v>130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Bishop, Tycee</t>
        </is>
      </c>
      <c r="D29" s="14" t="n">
        <v>1800</v>
      </c>
      <c r="E29" s="14" t="n">
        <v>130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6" t="inlineStr">
        <is>
          <t>BUS#</t>
        </is>
      </c>
      <c r="B30" s="6" t="inlineStr">
        <is>
          <t>Relief</t>
        </is>
      </c>
      <c r="C30" s="16" t="inlineStr">
        <is>
          <t>WEST LOT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Velasquez, Elizabeth</t>
        </is>
      </c>
      <c r="D31" s="14" t="n">
        <v>1200</v>
      </c>
      <c r="E31" s="14" t="n">
        <v>2030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Stovall, Damon</t>
        </is>
      </c>
      <c r="D32" s="14" t="n">
        <v>1400</v>
      </c>
      <c r="E32" s="14" t="n">
        <v>2130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De Haro, Carlos</t>
        </is>
      </c>
      <c r="D33" s="14" t="n">
        <v>1500</v>
      </c>
      <c r="E33" s="14" t="n">
        <v>2330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Bates, Aaron</t>
        </is>
      </c>
      <c r="D34" s="14" t="n">
        <v>1600</v>
      </c>
      <c r="E34" s="14" t="n">
        <v>2330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Acevedo, Miguel</t>
        </is>
      </c>
      <c r="D35" s="14" t="n">
        <v>1800</v>
      </c>
      <c r="E35" s="14" t="n">
        <v>230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Freeman, Glenn</t>
        </is>
      </c>
      <c r="D36" s="14" t="n">
        <v>1800</v>
      </c>
      <c r="E36" s="14" t="n">
        <v>130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6" t="inlineStr">
        <is>
          <t>BUS#</t>
        </is>
      </c>
      <c r="B37" s="6" t="inlineStr">
        <is>
          <t>Relief</t>
        </is>
      </c>
      <c r="C37" s="18" t="inlineStr">
        <is>
          <t>BREAKER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/>
      <c r="D39" s="14" t="inlineStr"/>
      <c r="E39" s="14" t="inlineStr"/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1">
      <c r="A41" s="20" t="inlineStr">
        <is>
          <t>NOTES (CALL OFFS, INCIDENTS, OPERATIONAL CHANGES, DETOURS)</t>
        </is>
      </c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21" t="inlineStr">
        <is>
          <t>HOURS SCHEDULED:</t>
        </is>
      </c>
      <c r="B45" s="5" t="n"/>
      <c r="C45" s="5" t="n"/>
      <c r="D45" s="5" t="n"/>
      <c r="E45" s="22" t="n">
        <v>171</v>
      </c>
      <c r="F45" s="5" t="n"/>
      <c r="G45" s="21" t="inlineStr">
        <is>
          <t>ADDITIONAL HOURS:</t>
        </is>
      </c>
      <c r="H45" s="5" t="n"/>
      <c r="I45" s="5" t="n"/>
      <c r="J45" s="5" t="n"/>
      <c r="K45" s="5" t="n"/>
      <c r="L45" s="21" t="inlineStr">
        <is>
          <t>TOTAL HOURS:</t>
        </is>
      </c>
      <c r="M45" s="5" t="n"/>
      <c r="N45" s="5" t="n"/>
      <c r="O45" s="22" t="n">
        <v>171</v>
      </c>
      <c r="P45" s="5" t="n"/>
      <c r="Q45" s="5" t="n"/>
      <c r="R45" s="5" t="n"/>
      <c r="S45" s="5" t="n"/>
      <c r="T45" s="5" t="n"/>
    </row>
    <row r="46">
      <c r="A46" s="21" t="inlineStr">
        <is>
          <t>EXPECTED HOURS</t>
        </is>
      </c>
      <c r="B46" s="5" t="n"/>
      <c r="C46" s="5" t="n"/>
      <c r="D46" s="5" t="n"/>
      <c r="E46" s="22" t="n">
        <v>305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1:J41"/>
  </mergeCells>
  <pageMargins left="0.1" right="0.1" top="0.25" bottom="0.25" header="0.1" footer="0.1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T3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Sunday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Sterling, James</t>
        </is>
      </c>
      <c r="N16" s="14" t="n">
        <v>2000</v>
      </c>
      <c r="O16" s="14" t="n">
        <v>330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Membreno, Irma</t>
        </is>
      </c>
      <c r="D17" s="14" t="n">
        <v>2000</v>
      </c>
      <c r="E17" s="14" t="n">
        <v>330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Barbee, Maidest</t>
        </is>
      </c>
      <c r="N17" s="14" t="n">
        <v>2100</v>
      </c>
      <c r="O17" s="14" t="n">
        <v>530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Halk, Carmella</t>
        </is>
      </c>
      <c r="D18" s="14" t="n">
        <v>2000</v>
      </c>
      <c r="E18" s="14" t="n">
        <v>330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Wilson, Shanon</t>
        </is>
      </c>
      <c r="N18" s="14" t="n">
        <v>2300</v>
      </c>
      <c r="O18" s="14" t="n">
        <v>730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Davis, Tonya</t>
        </is>
      </c>
      <c r="D19" s="14" t="n">
        <v>2000</v>
      </c>
      <c r="E19" s="14" t="n">
        <v>330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Gales, Dianna</t>
        </is>
      </c>
      <c r="D20" s="14" t="n">
        <v>2200</v>
      </c>
      <c r="E20" s="14" t="n">
        <v>530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Beamon, Letrice</t>
        </is>
      </c>
      <c r="D21" s="14" t="n">
        <v>2200</v>
      </c>
      <c r="E21" s="14" t="n">
        <v>200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Williams, Lee</t>
        </is>
      </c>
      <c r="D22" s="14" t="n">
        <v>2200</v>
      </c>
      <c r="E22" s="14" t="n">
        <v>630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6" t="inlineStr">
        <is>
          <t>BUS#</t>
        </is>
      </c>
      <c r="B23" s="6" t="inlineStr">
        <is>
          <t>Relief</t>
        </is>
      </c>
      <c r="C23" s="16" t="inlineStr">
        <is>
          <t>WEST LOT</t>
        </is>
      </c>
      <c r="D23" s="6" t="inlineStr">
        <is>
          <t>Start Time</t>
        </is>
      </c>
      <c r="E23" s="6" t="inlineStr">
        <is>
          <t>End Time</t>
        </is>
      </c>
      <c r="F23" s="6" t="inlineStr">
        <is>
          <t>Hours</t>
        </is>
      </c>
      <c r="G23" s="7" t="inlineStr">
        <is>
          <t>Trade Day</t>
        </is>
      </c>
      <c r="H23" s="7" t="inlineStr">
        <is>
          <t>Trade Day</t>
        </is>
      </c>
      <c r="I23" s="7" t="inlineStr">
        <is>
          <t>Overtime</t>
        </is>
      </c>
      <c r="J23" s="7" t="inlineStr">
        <is>
          <t>Trade Day</t>
        </is>
      </c>
      <c r="K23" s="12" t="inlineStr"/>
      <c r="L23" s="12" t="inlineStr"/>
      <c r="M23" s="13" t="inlineStr">
        <is>
          <t>Spenser, Purshane</t>
        </is>
      </c>
      <c r="N23" s="14" t="n">
        <v>1900</v>
      </c>
      <c r="O23" s="14" t="n">
        <v>130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Allen, Clarence</t>
        </is>
      </c>
      <c r="D24" s="14" t="n">
        <v>2100</v>
      </c>
      <c r="E24" s="14" t="n">
        <v>530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Adams, Lashonda</t>
        </is>
      </c>
      <c r="N24" s="14" t="n">
        <v>2100</v>
      </c>
      <c r="O24" s="14" t="n">
        <v>530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Bowie, Triston</t>
        </is>
      </c>
      <c r="D25" s="14" t="n">
        <v>2300</v>
      </c>
      <c r="E25" s="14" t="n">
        <v>730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Hunt, Tujuana</t>
        </is>
      </c>
      <c r="D26" s="14" t="n">
        <v>2300</v>
      </c>
      <c r="E26" s="14" t="n">
        <v>730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6" t="inlineStr">
        <is>
          <t>BUS#</t>
        </is>
      </c>
      <c r="B27" s="6" t="inlineStr">
        <is>
          <t>Relief</t>
        </is>
      </c>
      <c r="C27" s="18" t="inlineStr">
        <is>
          <t>BREAKER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/>
      <c r="D28" s="14" t="inlineStr"/>
      <c r="E28" s="14" t="inlineStr"/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/>
      <c r="D29" s="14" t="inlineStr"/>
      <c r="E29" s="14" t="inlineStr"/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1">
      <c r="A31" s="20" t="inlineStr">
        <is>
          <t>NOTES (CALL OFFS, INCIDENTS, OPERATIONAL CHANGES, DETOURS)</t>
        </is>
      </c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21" t="inlineStr">
        <is>
          <t>HOURS SCHEDULED:</t>
        </is>
      </c>
      <c r="B35" s="5" t="n"/>
      <c r="C35" s="5" t="n"/>
      <c r="D35" s="5" t="n"/>
      <c r="E35" s="22" t="n">
        <v>108</v>
      </c>
      <c r="F35" s="5" t="n"/>
      <c r="G35" s="21" t="inlineStr">
        <is>
          <t>ADDITIONAL HOURS:</t>
        </is>
      </c>
      <c r="H35" s="5" t="n"/>
      <c r="I35" s="5" t="n"/>
      <c r="J35" s="5" t="n"/>
      <c r="K35" s="5" t="n"/>
      <c r="L35" s="21" t="inlineStr">
        <is>
          <t>TOTAL HOURS:</t>
        </is>
      </c>
      <c r="M35" s="5" t="n"/>
      <c r="N35" s="5" t="n"/>
      <c r="O35" s="22" t="n">
        <v>108</v>
      </c>
      <c r="P35" s="5" t="n"/>
      <c r="Q35" s="5" t="n"/>
      <c r="R35" s="5" t="n"/>
      <c r="S35" s="5" t="n"/>
      <c r="T35" s="5" t="n"/>
    </row>
    <row r="36">
      <c r="A36" s="21" t="inlineStr">
        <is>
          <t>EXPECTED HOURS</t>
        </is>
      </c>
      <c r="B36" s="5" t="n"/>
      <c r="C36" s="5" t="n"/>
      <c r="D36" s="5" t="n"/>
      <c r="E36" s="22" t="n">
        <v>305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</sheetData>
  <mergeCells count="16">
    <mergeCell ref="A5:T5"/>
    <mergeCell ref="K9:T9"/>
    <mergeCell ref="K12:O12"/>
    <mergeCell ref="P12:T12"/>
    <mergeCell ref="A6:T6"/>
    <mergeCell ref="A31:J31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4:T5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Quarles, Raymond</t>
        </is>
      </c>
      <c r="D16" s="14" t="n">
        <v>100</v>
      </c>
      <c r="E16" s="14" t="n">
        <v>930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Smith, Jimmie</t>
        </is>
      </c>
      <c r="N16" s="14" t="n">
        <v>0</v>
      </c>
      <c r="O16" s="14" t="n">
        <v>830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Goodwin, Andre</t>
        </is>
      </c>
      <c r="D17" s="14" t="n">
        <v>200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300</v>
      </c>
      <c r="O17" s="14" t="n">
        <v>1130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Farries, Natasha</t>
        </is>
      </c>
      <c r="D18" s="14" t="n">
        <v>200</v>
      </c>
      <c r="E18" s="14" t="n">
        <v>1030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Winters, Dominique</t>
        </is>
      </c>
      <c r="N18" s="14" t="n">
        <v>700</v>
      </c>
      <c r="O18" s="14" t="n">
        <v>1430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Burton, Brandon</t>
        </is>
      </c>
      <c r="D19" s="14" t="n">
        <v>200</v>
      </c>
      <c r="E19" s="14" t="n">
        <v>1030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Jones, Andre</t>
        </is>
      </c>
      <c r="N19" s="14" t="n">
        <v>1000</v>
      </c>
      <c r="O19" s="14" t="n">
        <v>1830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Basham, Mackolia</t>
        </is>
      </c>
      <c r="D20" s="14" t="n">
        <v>200</v>
      </c>
      <c r="E20" s="14" t="n">
        <v>1030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Skinner, Talieya</t>
        </is>
      </c>
      <c r="D21" s="14" t="n">
        <v>300</v>
      </c>
      <c r="E21" s="14" t="n">
        <v>1130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Kassa, Mekonnen</t>
        </is>
      </c>
      <c r="D22" s="14" t="n">
        <v>300</v>
      </c>
      <c r="E22" s="14" t="n">
        <v>1130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Meighan, Murlin</t>
        </is>
      </c>
      <c r="D23" s="14" t="n">
        <v>300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Handy, Veta</t>
        </is>
      </c>
      <c r="D24" s="14" t="n">
        <v>300</v>
      </c>
      <c r="E24" s="14" t="n">
        <v>700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Smith, Rhazon</t>
        </is>
      </c>
      <c r="N24" s="14" t="n">
        <v>400</v>
      </c>
      <c r="O24" s="14" t="n">
        <v>1130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Wilkins, Jesus</t>
        </is>
      </c>
      <c r="D25" s="14" t="n">
        <v>400</v>
      </c>
      <c r="E25" s="14" t="n">
        <v>900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Jackson, Rico</t>
        </is>
      </c>
      <c r="N25" s="14" t="n">
        <v>600</v>
      </c>
      <c r="O25" s="14" t="n">
        <v>1440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Dunlap, Calvin</t>
        </is>
      </c>
      <c r="D26" s="14" t="n">
        <v>400</v>
      </c>
      <c r="E26" s="14" t="n">
        <v>1230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Marshall, Sharon</t>
        </is>
      </c>
      <c r="N26" s="14" t="n">
        <v>700</v>
      </c>
      <c r="O26" s="14" t="n">
        <v>1200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Handy, Veta</t>
        </is>
      </c>
      <c r="D27" s="14" t="n">
        <v>500</v>
      </c>
      <c r="E27" s="14" t="n">
        <v>1130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Gonzalez, Christina</t>
        </is>
      </c>
      <c r="N27" s="14" t="n">
        <v>900</v>
      </c>
      <c r="O27" s="14" t="n">
        <v>1630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Aaron, Jonathan</t>
        </is>
      </c>
      <c r="D28" s="14" t="n">
        <v>500</v>
      </c>
      <c r="E28" s="14" t="n">
        <v>1330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Moller, Baraat</t>
        </is>
      </c>
      <c r="N28" s="14" t="n">
        <v>1000</v>
      </c>
      <c r="O28" s="14" t="n">
        <v>1830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Broaden, Louise</t>
        </is>
      </c>
      <c r="D29" s="14" t="n">
        <v>500</v>
      </c>
      <c r="E29" s="14" t="n">
        <v>1330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Ramos, Saul</t>
        </is>
      </c>
      <c r="D30" s="14" t="n">
        <v>600</v>
      </c>
      <c r="E30" s="14" t="n">
        <v>1430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Denton, Phillip</t>
        </is>
      </c>
      <c r="D31" s="14" t="n">
        <v>600</v>
      </c>
      <c r="E31" s="14" t="n">
        <v>1330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Velasquez, Carlos</t>
        </is>
      </c>
      <c r="D32" s="14" t="n">
        <v>700</v>
      </c>
      <c r="E32" s="14" t="n">
        <v>1530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Walker, Larry</t>
        </is>
      </c>
      <c r="D33" s="14" t="n">
        <v>800</v>
      </c>
      <c r="E33" s="14" t="n">
        <v>1530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Simmons, Meyoshi</t>
        </is>
      </c>
      <c r="D34" s="14" t="n">
        <v>800</v>
      </c>
      <c r="E34" s="14" t="n">
        <v>1430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Mcgee, Briana</t>
        </is>
      </c>
      <c r="D35" s="14" t="n">
        <v>800</v>
      </c>
      <c r="E35" s="14" t="n">
        <v>1300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Deshone, Sharion</t>
        </is>
      </c>
      <c r="D36" s="14" t="n">
        <v>800</v>
      </c>
      <c r="E36" s="14" t="n">
        <v>1530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Pawnell, Felicia</t>
        </is>
      </c>
      <c r="D37" s="14" t="n">
        <v>900</v>
      </c>
      <c r="E37" s="14" t="n">
        <v>1730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Gutierrez, Jose</t>
        </is>
      </c>
      <c r="D38" s="14" t="n">
        <v>900</v>
      </c>
      <c r="E38" s="14" t="n">
        <v>1730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Saenz, Noel</t>
        </is>
      </c>
      <c r="D39" s="14" t="n">
        <v>1000</v>
      </c>
      <c r="E39" s="14" t="n">
        <v>1830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Taylor, April</t>
        </is>
      </c>
      <c r="D41" s="14" t="n">
        <v>600</v>
      </c>
      <c r="E41" s="14" t="n">
        <v>1000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Sterling, Akie</t>
        </is>
      </c>
      <c r="D42" s="14" t="n">
        <v>700</v>
      </c>
      <c r="E42" s="14" t="n">
        <v>1530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>
        <is>
          <t>Carter, Karen</t>
        </is>
      </c>
      <c r="D43" s="14" t="n">
        <v>900</v>
      </c>
      <c r="E43" s="14" t="n">
        <v>1730</v>
      </c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Rodriguez Cordero Jr, Enrique</t>
        </is>
      </c>
      <c r="D44" s="14" t="n">
        <v>1000</v>
      </c>
      <c r="E44" s="14" t="n">
        <v>1830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6" t="inlineStr">
        <is>
          <t>BUS#</t>
        </is>
      </c>
      <c r="B45" s="6" t="inlineStr">
        <is>
          <t>Relief</t>
        </is>
      </c>
      <c r="C45" s="18" t="inlineStr">
        <is>
          <t>BREAKER</t>
        </is>
      </c>
      <c r="D45" s="6" t="inlineStr">
        <is>
          <t>Start Time</t>
        </is>
      </c>
      <c r="E45" s="6" t="inlineStr">
        <is>
          <t>End Time</t>
        </is>
      </c>
      <c r="F45" s="6" t="inlineStr">
        <is>
          <t>Hours</t>
        </is>
      </c>
      <c r="G45" s="7" t="inlineStr">
        <is>
          <t>Trade Day</t>
        </is>
      </c>
      <c r="H45" s="7" t="inlineStr">
        <is>
          <t>Trade Day</t>
        </is>
      </c>
      <c r="I45" s="7" t="inlineStr">
        <is>
          <t>Overtime</t>
        </is>
      </c>
      <c r="J45" s="7" t="inlineStr">
        <is>
          <t>Trade Day</t>
        </is>
      </c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6">
      <c r="A46" s="12" t="inlineStr"/>
      <c r="B46" s="12" t="inlineStr"/>
      <c r="C46" s="13" t="inlineStr">
        <is>
          <t>Bush, Shayland</t>
        </is>
      </c>
      <c r="D46" s="14" t="n">
        <v>0</v>
      </c>
      <c r="E46" s="14" t="n">
        <v>830</v>
      </c>
      <c r="F46" s="15">
        <f>IF(AND(D46&lt;&gt;"",E46&lt;&gt;""),INT(IF(E46&lt;D46,24+(INT(E46/100)+MOD(E46,100)/60)-(INT(D46/100)+MOD(D46,100)/60),(INT(E46/100)+MOD(E46,100)/60)-(INT(D46/100)+MOD(D46,100)/60))),"")</f>
        <v/>
      </c>
      <c r="G46" s="12" t="inlineStr"/>
      <c r="H46" s="12" t="inlineStr"/>
      <c r="I46" s="12" t="inlineStr"/>
      <c r="J46" s="12" t="inlineStr"/>
      <c r="K46" s="12" t="inlineStr"/>
      <c r="L46" s="12" t="inlineStr"/>
      <c r="M46" s="13" t="inlineStr"/>
      <c r="N46" s="14" t="inlineStr"/>
      <c r="O46" s="14" t="inlineStr"/>
      <c r="P46" s="15">
        <f>IF(AND(N46&lt;&gt;"",O46&lt;&gt;""),INT(IF(O46&lt;N46,24+(INT(O46/100)+MOD(O46,100)/60)-(INT(N46/100)+MOD(N46,100)/60),(INT(O46/100)+MOD(O46,100)/60)-(INT(N46/100)+MOD(N46,100)/60))),"")</f>
        <v/>
      </c>
      <c r="Q46" s="12" t="inlineStr"/>
      <c r="R46" s="12" t="inlineStr"/>
      <c r="S46" s="12" t="inlineStr"/>
      <c r="T46" s="12" t="inlineStr"/>
    </row>
    <row r="47">
      <c r="A47" s="12" t="inlineStr"/>
      <c r="B47" s="12" t="inlineStr"/>
      <c r="C47" s="13" t="inlineStr">
        <is>
          <t>Keyes, Sean</t>
        </is>
      </c>
      <c r="D47" s="14" t="n">
        <v>100</v>
      </c>
      <c r="E47" s="14" t="n">
        <v>930</v>
      </c>
      <c r="F47" s="15">
        <f>IF(AND(D47&lt;&gt;"",E47&lt;&gt;""),INT(IF(E47&lt;D47,24+(INT(E47/100)+MOD(E47,100)/60)-(INT(D47/100)+MOD(D47,100)/60),(INT(E47/100)+MOD(E47,100)/60)-(INT(D47/100)+MOD(D47,100)/60))),"")</f>
        <v/>
      </c>
      <c r="G47" s="12" t="inlineStr"/>
      <c r="H47" s="12" t="inlineStr"/>
      <c r="I47" s="12" t="inlineStr"/>
      <c r="J47" s="12" t="inlineStr"/>
      <c r="K47" s="12" t="inlineStr"/>
      <c r="L47" s="12" t="inlineStr"/>
      <c r="M47" s="13" t="inlineStr"/>
      <c r="N47" s="14" t="inlineStr"/>
      <c r="O47" s="14" t="inlineStr"/>
      <c r="P47" s="15">
        <f>IF(AND(N47&lt;&gt;"",O47&lt;&gt;""),INT(IF(O47&lt;N47,24+(INT(O47/100)+MOD(O47,100)/60)-(INT(N47/100)+MOD(N47,100)/60),(INT(O47/100)+MOD(O47,100)/60)-(INT(N47/100)+MOD(N47,100)/60))),"")</f>
        <v/>
      </c>
      <c r="Q47" s="12" t="inlineStr"/>
      <c r="R47" s="12" t="inlineStr"/>
      <c r="S47" s="12" t="inlineStr"/>
      <c r="T47" s="12" t="inlineStr"/>
    </row>
    <row r="48">
      <c r="A48" s="12" t="inlineStr"/>
      <c r="B48" s="12" t="inlineStr"/>
      <c r="C48" s="13" t="inlineStr">
        <is>
          <t>Robinson, Kameelah</t>
        </is>
      </c>
      <c r="D48" s="14" t="n">
        <v>600</v>
      </c>
      <c r="E48" s="14" t="n">
        <v>1430</v>
      </c>
      <c r="F48" s="15">
        <f>IF(AND(D48&lt;&gt;"",E48&lt;&gt;""),INT(IF(E48&lt;D48,24+(INT(E48/100)+MOD(E48,100)/60)-(INT(D48/100)+MOD(D48,100)/60),(INT(E48/100)+MOD(E48,100)/60)-(INT(D48/100)+MOD(D48,100)/60))),"")</f>
        <v/>
      </c>
      <c r="G48" s="12" t="inlineStr"/>
      <c r="H48" s="12" t="inlineStr"/>
      <c r="I48" s="12" t="inlineStr"/>
      <c r="J48" s="12" t="inlineStr"/>
      <c r="K48" s="12" t="inlineStr"/>
      <c r="L48" s="12" t="inlineStr"/>
      <c r="M48" s="13" t="inlineStr"/>
      <c r="N48" s="14" t="inlineStr"/>
      <c r="O48" s="14" t="inlineStr"/>
      <c r="P48" s="15">
        <f>IF(AND(N48&lt;&gt;"",O48&lt;&gt;""),INT(IF(O48&lt;N48,24+(INT(O48/100)+MOD(O48,100)/60)-(INT(N48/100)+MOD(N48,100)/60),(INT(O48/100)+MOD(O48,100)/60)-(INT(N48/100)+MOD(N48,100)/60))),"")</f>
        <v/>
      </c>
      <c r="Q48" s="12" t="inlineStr"/>
      <c r="R48" s="12" t="inlineStr"/>
      <c r="S48" s="12" t="inlineStr"/>
      <c r="T48" s="12" t="inlineStr"/>
    </row>
    <row r="50">
      <c r="A50" s="20" t="inlineStr">
        <is>
          <t>NOTES (CALL OFFS, INCIDENTS, OPERATIONAL CHANGES, DETOURS)</t>
        </is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21" t="inlineStr">
        <is>
          <t>HOURS SCHEDULED:</t>
        </is>
      </c>
      <c r="B54" s="5" t="n"/>
      <c r="C54" s="5" t="n"/>
      <c r="D54" s="5" t="n"/>
      <c r="E54" s="22" t="n">
        <v>291</v>
      </c>
      <c r="F54" s="5" t="n"/>
      <c r="G54" s="21" t="inlineStr">
        <is>
          <t>ADDITIONAL HOURS:</t>
        </is>
      </c>
      <c r="H54" s="5" t="n"/>
      <c r="I54" s="5" t="n"/>
      <c r="J54" s="5" t="n"/>
      <c r="K54" s="5" t="n"/>
      <c r="L54" s="21" t="inlineStr">
        <is>
          <t>TOTAL HOURS:</t>
        </is>
      </c>
      <c r="M54" s="5" t="n"/>
      <c r="N54" s="5" t="n"/>
      <c r="O54" s="22" t="n">
        <v>291</v>
      </c>
      <c r="P54" s="5" t="n"/>
      <c r="Q54" s="5" t="n"/>
      <c r="R54" s="5" t="n"/>
      <c r="S54" s="5" t="n"/>
      <c r="T54" s="5" t="n"/>
    </row>
    <row r="55">
      <c r="A55" s="21" t="inlineStr">
        <is>
          <t>EXPECTED HOURS</t>
        </is>
      </c>
      <c r="B55" s="5" t="n"/>
      <c r="C55" s="5" t="n"/>
      <c r="D55" s="5" t="n"/>
      <c r="E55" s="22" t="n">
        <v>305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A50:J5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4:T40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1100</v>
      </c>
      <c r="E16" s="14" t="n">
        <v>1730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1200</v>
      </c>
      <c r="O16" s="14" t="n">
        <v>1930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Dieguez, Cristobal</t>
        </is>
      </c>
      <c r="D17" s="14" t="n">
        <v>1100</v>
      </c>
      <c r="E17" s="14" t="n">
        <v>1930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Blaylock, Jumah</t>
        </is>
      </c>
      <c r="N17" s="14" t="n">
        <v>1300</v>
      </c>
      <c r="O17" s="14" t="n">
        <v>2130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Franco, Juan</t>
        </is>
      </c>
      <c r="D18" s="14" t="n">
        <v>1200</v>
      </c>
      <c r="E18" s="14" t="n">
        <v>2030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Dixon, Shane</t>
        </is>
      </c>
      <c r="N18" s="14" t="n">
        <v>1400</v>
      </c>
      <c r="O18" s="14" t="n">
        <v>2230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Le, Don</t>
        </is>
      </c>
      <c r="D19" s="14" t="n">
        <v>1300</v>
      </c>
      <c r="E19" s="14" t="n">
        <v>2130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Davis, Kenneth</t>
        </is>
      </c>
      <c r="N19" s="14" t="n">
        <v>1800</v>
      </c>
      <c r="O19" s="14" t="n">
        <v>2300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Stovall, Damon</t>
        </is>
      </c>
      <c r="D20" s="14" t="n">
        <v>1400</v>
      </c>
      <c r="E20" s="14" t="n">
        <v>2130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De Haro, Carlos</t>
        </is>
      </c>
      <c r="D21" s="14" t="n">
        <v>1500</v>
      </c>
      <c r="E21" s="14" t="n">
        <v>2330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Bates, Aaron</t>
        </is>
      </c>
      <c r="D22" s="14" t="n">
        <v>1600</v>
      </c>
      <c r="E22" s="14" t="n">
        <v>2330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Somoza, Jose</t>
        </is>
      </c>
      <c r="D23" s="14" t="n">
        <v>1700</v>
      </c>
      <c r="E23" s="14" t="n">
        <v>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Acevedo, Miguel</t>
        </is>
      </c>
      <c r="D24" s="14" t="n">
        <v>1800</v>
      </c>
      <c r="E24" s="14" t="n">
        <v>230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Theus, Tieran</t>
        </is>
      </c>
      <c r="N24" s="14" t="n">
        <v>1300</v>
      </c>
      <c r="O24" s="14" t="n">
        <v>2030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>
        <is>
          <t>Tejeda, Jose</t>
        </is>
      </c>
      <c r="N25" s="14" t="n">
        <v>1400</v>
      </c>
      <c r="O25" s="14" t="n">
        <v>2230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Gilliams, Tyetanisha</t>
        </is>
      </c>
      <c r="D26" s="14" t="n">
        <v>1100</v>
      </c>
      <c r="E26" s="14" t="n">
        <v>1830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Green, Darnell</t>
        </is>
      </c>
      <c r="N26" s="14" t="n">
        <v>1700</v>
      </c>
      <c r="O26" s="14" t="n">
        <v>130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Lee, Shenwu</t>
        </is>
      </c>
      <c r="D27" s="14" t="n">
        <v>1300</v>
      </c>
      <c r="E27" s="14" t="n">
        <v>2130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Jacques, Maria</t>
        </is>
      </c>
      <c r="D28" s="14" t="n">
        <v>1500</v>
      </c>
      <c r="E28" s="14" t="n">
        <v>2330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Monroy Romero, Marta</t>
        </is>
      </c>
      <c r="D29" s="14" t="n">
        <v>1600</v>
      </c>
      <c r="E29" s="14" t="n">
        <v>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Navarro, Jesus</t>
        </is>
      </c>
      <c r="D30" s="14" t="n">
        <v>1730</v>
      </c>
      <c r="E30" s="14" t="n">
        <v>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6" t="inlineStr">
        <is>
          <t>BUS#</t>
        </is>
      </c>
      <c r="B31" s="6" t="inlineStr">
        <is>
          <t>Relief</t>
        </is>
      </c>
      <c r="C31" s="18" t="inlineStr">
        <is>
          <t>BREAKER</t>
        </is>
      </c>
      <c r="D31" s="6" t="inlineStr">
        <is>
          <t>Start Time</t>
        </is>
      </c>
      <c r="E31" s="6" t="inlineStr">
        <is>
          <t>End Time</t>
        </is>
      </c>
      <c r="F31" s="6" t="inlineStr">
        <is>
          <t>Hours</t>
        </is>
      </c>
      <c r="G31" s="7" t="inlineStr">
        <is>
          <t>Trade Day</t>
        </is>
      </c>
      <c r="H31" s="7" t="inlineStr">
        <is>
          <t>Trade Day</t>
        </is>
      </c>
      <c r="I31" s="7" t="inlineStr">
        <is>
          <t>Overtime</t>
        </is>
      </c>
      <c r="J31" s="7" t="inlineStr">
        <is>
          <t>Trade Day</t>
        </is>
      </c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Williams, Sarah</t>
        </is>
      </c>
      <c r="D32" s="14" t="n">
        <v>1100</v>
      </c>
      <c r="E32" s="14" t="n">
        <v>1930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Fuller, Kameisha</t>
        </is>
      </c>
      <c r="D33" s="14" t="n">
        <v>1400</v>
      </c>
      <c r="E33" s="14" t="n">
        <v>2230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5">
      <c r="A35" s="20" t="inlineStr">
        <is>
          <t>NOTES (CALL OFFS, INCIDENTS, OPERATIONAL CHANGES, DETOURS)</t>
        </is>
      </c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21" t="inlineStr">
        <is>
          <t>HOURS SCHEDULED:</t>
        </is>
      </c>
      <c r="B39" s="5" t="n"/>
      <c r="C39" s="5" t="n"/>
      <c r="D39" s="5" t="n"/>
      <c r="E39" s="22" t="n">
        <v>173</v>
      </c>
      <c r="F39" s="5" t="n"/>
      <c r="G39" s="21" t="inlineStr">
        <is>
          <t>ADDITIONAL HOURS:</t>
        </is>
      </c>
      <c r="H39" s="5" t="n"/>
      <c r="I39" s="5" t="n"/>
      <c r="J39" s="5" t="n"/>
      <c r="K39" s="5" t="n"/>
      <c r="L39" s="21" t="inlineStr">
        <is>
          <t>TOTAL HOURS:</t>
        </is>
      </c>
      <c r="M39" s="5" t="n"/>
      <c r="N39" s="5" t="n"/>
      <c r="O39" s="22" t="n">
        <v>173</v>
      </c>
      <c r="P39" s="5" t="n"/>
      <c r="Q39" s="5" t="n"/>
      <c r="R39" s="5" t="n"/>
      <c r="S39" s="5" t="n"/>
      <c r="T39" s="5" t="n"/>
    </row>
    <row r="40">
      <c r="A40" s="21" t="inlineStr">
        <is>
          <t>EXPECTED HOURS</t>
        </is>
      </c>
      <c r="B40" s="5" t="n"/>
      <c r="C40" s="5" t="n"/>
      <c r="D40" s="5" t="n"/>
      <c r="E40" s="22" t="n">
        <v>305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A35:J35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4:T4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Monday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Bishop, Tycee</t>
        </is>
      </c>
      <c r="D16" s="14" t="n">
        <v>1900</v>
      </c>
      <c r="E16" s="14" t="n">
        <v>230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2000</v>
      </c>
      <c r="O16" s="14" t="n">
        <v>430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Spenser, Purshane</t>
        </is>
      </c>
      <c r="D17" s="14" t="n">
        <v>1900</v>
      </c>
      <c r="E17" s="14" t="n">
        <v>130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Fowler, Keisha</t>
        </is>
      </c>
      <c r="N17" s="14" t="n">
        <v>2100</v>
      </c>
      <c r="O17" s="14" t="n">
        <v>530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Allen, Clarence</t>
        </is>
      </c>
      <c r="D18" s="14" t="n">
        <v>2000</v>
      </c>
      <c r="E18" s="14" t="n">
        <v>430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Wilson, Shanon</t>
        </is>
      </c>
      <c r="N18" s="14" t="n">
        <v>2300</v>
      </c>
      <c r="O18" s="14" t="n">
        <v>730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Todman, Shamon</t>
        </is>
      </c>
      <c r="D19" s="14" t="n">
        <v>2000</v>
      </c>
      <c r="E19" s="14" t="n">
        <v>430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Brown, Petrena</t>
        </is>
      </c>
      <c r="D20" s="14" t="n">
        <v>2000</v>
      </c>
      <c r="E20" s="14" t="n">
        <v>430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Grantham, Bryan</t>
        </is>
      </c>
      <c r="D21" s="14" t="n">
        <v>2100</v>
      </c>
      <c r="E21" s="14" t="n">
        <v>530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Hunt, Tujuana</t>
        </is>
      </c>
      <c r="D22" s="14" t="n">
        <v>2200</v>
      </c>
      <c r="E22" s="14" t="n">
        <v>630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Williams, Lee</t>
        </is>
      </c>
      <c r="D23" s="14" t="n">
        <v>2200</v>
      </c>
      <c r="E23" s="14" t="n">
        <v>630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Adams, Lashonda</t>
        </is>
      </c>
      <c r="D24" s="14" t="n">
        <v>2200</v>
      </c>
      <c r="E24" s="14" t="n">
        <v>300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Mitchell Jr, Gary</t>
        </is>
      </c>
      <c r="D25" s="14" t="n">
        <v>2300</v>
      </c>
      <c r="E25" s="14" t="n">
        <v>730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Heard, Wynetta</t>
        </is>
      </c>
      <c r="D26" s="14" t="n">
        <v>2300</v>
      </c>
      <c r="E26" s="14" t="n">
        <v>730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6" t="inlineStr">
        <is>
          <t>BUS#</t>
        </is>
      </c>
      <c r="B27" s="6" t="inlineStr">
        <is>
          <t>Relief</t>
        </is>
      </c>
      <c r="C27" s="16" t="inlineStr">
        <is>
          <t>WEST LOT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Dawson, Hakeem</t>
        </is>
      </c>
      <c r="D28" s="14" t="n">
        <v>1900</v>
      </c>
      <c r="E28" s="14" t="n">
        <v>330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Halk, Carmella</t>
        </is>
      </c>
      <c r="D29" s="14" t="n">
        <v>1900</v>
      </c>
      <c r="E29" s="14" t="n">
        <v>230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Gales, Dianna</t>
        </is>
      </c>
      <c r="D30" s="14" t="n">
        <v>2100</v>
      </c>
      <c r="E30" s="14" t="n">
        <v>530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Morales, Brandon</t>
        </is>
      </c>
      <c r="D31" s="14" t="n">
        <v>2200</v>
      </c>
      <c r="E31" s="14" t="n">
        <v>200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6" t="inlineStr">
        <is>
          <t>BUS#</t>
        </is>
      </c>
      <c r="B32" s="6" t="inlineStr">
        <is>
          <t>Relief</t>
        </is>
      </c>
      <c r="C32" s="18" t="inlineStr">
        <is>
          <t>BREAKER</t>
        </is>
      </c>
      <c r="D32" s="6" t="inlineStr">
        <is>
          <t>Start Time</t>
        </is>
      </c>
      <c r="E32" s="6" t="inlineStr">
        <is>
          <t>End Time</t>
        </is>
      </c>
      <c r="F32" s="6" t="inlineStr">
        <is>
          <t>Hours</t>
        </is>
      </c>
      <c r="G32" s="7" t="inlineStr">
        <is>
          <t>Trade Day</t>
        </is>
      </c>
      <c r="H32" s="7" t="inlineStr">
        <is>
          <t>Trade Day</t>
        </is>
      </c>
      <c r="I32" s="7" t="inlineStr">
        <is>
          <t>Overtime</t>
        </is>
      </c>
      <c r="J32" s="7" t="inlineStr">
        <is>
          <t>Trade Day</t>
        </is>
      </c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/>
      <c r="D33" s="14" t="inlineStr"/>
      <c r="E33" s="14" t="inlineStr"/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/>
      <c r="D34" s="14" t="inlineStr"/>
      <c r="E34" s="14" t="inlineStr"/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6">
      <c r="A36" s="20" t="inlineStr">
        <is>
          <t>NOTES (CALL OFFS, INCIDENTS, OPERATIONAL CHANGES, DETOURS)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21" t="inlineStr">
        <is>
          <t>HOURS SCHEDULED:</t>
        </is>
      </c>
      <c r="B40" s="5" t="n"/>
      <c r="C40" s="5" t="n"/>
      <c r="D40" s="5" t="n"/>
      <c r="E40" s="22" t="n">
        <v>133</v>
      </c>
      <c r="F40" s="5" t="n"/>
      <c r="G40" s="21" t="inlineStr">
        <is>
          <t>ADDITIONAL HOURS:</t>
        </is>
      </c>
      <c r="H40" s="5" t="n"/>
      <c r="I40" s="5" t="n"/>
      <c r="J40" s="5" t="n"/>
      <c r="K40" s="5" t="n"/>
      <c r="L40" s="21" t="inlineStr">
        <is>
          <t>TOTAL HOURS:</t>
        </is>
      </c>
      <c r="M40" s="5" t="n"/>
      <c r="N40" s="5" t="n"/>
      <c r="O40" s="22" t="n">
        <v>133</v>
      </c>
      <c r="P40" s="5" t="n"/>
      <c r="Q40" s="5" t="n"/>
      <c r="R40" s="5" t="n"/>
      <c r="S40" s="5" t="n"/>
      <c r="T40" s="5" t="n"/>
    </row>
    <row r="41">
      <c r="A41" s="21" t="inlineStr">
        <is>
          <t>EXPECTED HOURS</t>
        </is>
      </c>
      <c r="B41" s="5" t="n"/>
      <c r="C41" s="5" t="n"/>
      <c r="D41" s="5" t="n"/>
      <c r="E41" s="22" t="n">
        <v>305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</sheetData>
  <mergeCells count="16">
    <mergeCell ref="A5:T5"/>
    <mergeCell ref="K9:T9"/>
    <mergeCell ref="K12:O12"/>
    <mergeCell ref="P12:T12"/>
    <mergeCell ref="A6:T6"/>
    <mergeCell ref="A36:J3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4:T54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Quarles, Raymond</t>
        </is>
      </c>
      <c r="D16" s="14" t="n">
        <v>100</v>
      </c>
      <c r="E16" s="14" t="n">
        <v>90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Smith, Jimmie</t>
        </is>
      </c>
      <c r="N16" s="14" t="n">
        <v>0</v>
      </c>
      <c r="O16" s="14" t="n">
        <v>830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Goodwin, Andre</t>
        </is>
      </c>
      <c r="D17" s="14" t="n">
        <v>200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300</v>
      </c>
      <c r="O17" s="14" t="n">
        <v>1130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Farries, Natasha</t>
        </is>
      </c>
      <c r="D18" s="14" t="n">
        <v>200</v>
      </c>
      <c r="E18" s="14" t="n">
        <v>1030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Jones, Andre</t>
        </is>
      </c>
      <c r="N18" s="14" t="n">
        <v>1000</v>
      </c>
      <c r="O18" s="14" t="n">
        <v>1830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Basham, Mackolia</t>
        </is>
      </c>
      <c r="D19" s="14" t="n">
        <v>200</v>
      </c>
      <c r="E19" s="14" t="n">
        <v>1030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Skinner, Talieya</t>
        </is>
      </c>
      <c r="D20" s="14" t="n">
        <v>300</v>
      </c>
      <c r="E20" s="14" t="n">
        <v>1130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Kassa, Mekonnen</t>
        </is>
      </c>
      <c r="D21" s="14" t="n">
        <v>300</v>
      </c>
      <c r="E21" s="14" t="n">
        <v>1130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Wilkins, Jesus</t>
        </is>
      </c>
      <c r="D22" s="14" t="n">
        <v>400</v>
      </c>
      <c r="E22" s="14" t="n">
        <v>900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Handy, Veta</t>
        </is>
      </c>
      <c r="D23" s="14" t="n">
        <v>500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Dawson, Patty</t>
        </is>
      </c>
      <c r="N23" s="14" t="n">
        <v>300</v>
      </c>
      <c r="O23" s="14" t="n">
        <v>1030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Ramos, Saul</t>
        </is>
      </c>
      <c r="D24" s="14" t="n">
        <v>600</v>
      </c>
      <c r="E24" s="14" t="n">
        <v>1430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Handy, Veta</t>
        </is>
      </c>
      <c r="N24" s="14" t="n">
        <v>300</v>
      </c>
      <c r="O24" s="14" t="n">
        <v>700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Denton, Phillip</t>
        </is>
      </c>
      <c r="D25" s="14" t="n">
        <v>600</v>
      </c>
      <c r="E25" s="14" t="n">
        <v>1330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Meighan, Murlin</t>
        </is>
      </c>
      <c r="N25" s="14" t="n">
        <v>400</v>
      </c>
      <c r="O25" s="14" t="n">
        <v>1230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Taylor, April</t>
        </is>
      </c>
      <c r="D26" s="14" t="n">
        <v>600</v>
      </c>
      <c r="E26" s="14" t="n">
        <v>1430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Broaden, Louise</t>
        </is>
      </c>
      <c r="N26" s="14" t="n">
        <v>500</v>
      </c>
      <c r="O26" s="14" t="n">
        <v>1330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Jackson, Rico</t>
        </is>
      </c>
      <c r="D27" s="14" t="n">
        <v>600</v>
      </c>
      <c r="E27" s="14" t="n">
        <v>1430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Deshone, Sharion</t>
        </is>
      </c>
      <c r="N27" s="14" t="n">
        <v>800</v>
      </c>
      <c r="O27" s="14" t="n">
        <v>1530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Velasquez, Carlos</t>
        </is>
      </c>
      <c r="D28" s="14" t="n">
        <v>700</v>
      </c>
      <c r="E28" s="14" t="n">
        <v>1530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Gonzalez, Christina</t>
        </is>
      </c>
      <c r="N28" s="14" t="n">
        <v>900</v>
      </c>
      <c r="O28" s="14" t="n">
        <v>1630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Winters, Dominique</t>
        </is>
      </c>
      <c r="D29" s="14" t="n">
        <v>700</v>
      </c>
      <c r="E29" s="14" t="n">
        <v>1430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Marshall, Sharon</t>
        </is>
      </c>
      <c r="D30" s="14" t="n">
        <v>700</v>
      </c>
      <c r="E30" s="14" t="n">
        <v>1200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Walker, Larry</t>
        </is>
      </c>
      <c r="D31" s="14" t="n">
        <v>800</v>
      </c>
      <c r="E31" s="14" t="n">
        <v>1530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Mcgee, Briana</t>
        </is>
      </c>
      <c r="D32" s="14" t="n">
        <v>800</v>
      </c>
      <c r="E32" s="14" t="n">
        <v>1300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Pawnell, Felicia</t>
        </is>
      </c>
      <c r="D33" s="14" t="n">
        <v>900</v>
      </c>
      <c r="E33" s="14" t="n">
        <v>1730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Gutierrez, Jose</t>
        </is>
      </c>
      <c r="D34" s="14" t="n">
        <v>900</v>
      </c>
      <c r="E34" s="14" t="n">
        <v>1730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Ramirez, Ruben</t>
        </is>
      </c>
      <c r="D35" s="14" t="n">
        <v>1000</v>
      </c>
      <c r="E35" s="14" t="n">
        <v>1830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Moller, Baraat</t>
        </is>
      </c>
      <c r="D36" s="14" t="n">
        <v>1000</v>
      </c>
      <c r="E36" s="14" t="n">
        <v>1830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6" t="inlineStr">
        <is>
          <t>BUS#</t>
        </is>
      </c>
      <c r="B37" s="6" t="inlineStr">
        <is>
          <t>Relief</t>
        </is>
      </c>
      <c r="C37" s="16" t="inlineStr">
        <is>
          <t>WEST LOT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Burton, Brandon</t>
        </is>
      </c>
      <c r="D38" s="14" t="n">
        <v>200</v>
      </c>
      <c r="E38" s="14" t="n">
        <v>1030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Dunlap, Calvin</t>
        </is>
      </c>
      <c r="D39" s="14" t="n">
        <v>400</v>
      </c>
      <c r="E39" s="14" t="n">
        <v>1230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12" t="inlineStr"/>
      <c r="B40" s="12" t="inlineStr"/>
      <c r="C40" s="13" t="inlineStr">
        <is>
          <t>Aaron, Jonathan</t>
        </is>
      </c>
      <c r="D40" s="14" t="n">
        <v>500</v>
      </c>
      <c r="E40" s="14" t="n">
        <v>1330</v>
      </c>
      <c r="F40" s="15">
        <f>IF(AND(D40&lt;&gt;"",E40&lt;&gt;""),INT(IF(E40&lt;D40,24+(INT(E40/100)+MOD(E40,100)/60)-(INT(D40/100)+MOD(D40,100)/60),(INT(E40/100)+MOD(E40,100)/60)-(INT(D40/100)+MOD(D40,100)/60))),"")</f>
        <v/>
      </c>
      <c r="G40" s="12" t="inlineStr"/>
      <c r="H40" s="12" t="inlineStr"/>
      <c r="I40" s="12" t="inlineStr"/>
      <c r="J40" s="12" t="inlineStr"/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Sterling, Akie</t>
        </is>
      </c>
      <c r="D41" s="14" t="n">
        <v>700</v>
      </c>
      <c r="E41" s="14" t="n">
        <v>1530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Simmons, Meyoshi</t>
        </is>
      </c>
      <c r="D42" s="14" t="n">
        <v>800</v>
      </c>
      <c r="E42" s="14" t="n">
        <v>1430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>
        <is>
          <t>Carter, Karen</t>
        </is>
      </c>
      <c r="D43" s="14" t="n">
        <v>900</v>
      </c>
      <c r="E43" s="14" t="n">
        <v>1730</v>
      </c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Rodriguez Cordero Jr, Enrique</t>
        </is>
      </c>
      <c r="D44" s="14" t="n">
        <v>1000</v>
      </c>
      <c r="E44" s="14" t="n">
        <v>1830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6" t="inlineStr">
        <is>
          <t>BUS#</t>
        </is>
      </c>
      <c r="B45" s="6" t="inlineStr">
        <is>
          <t>Relief</t>
        </is>
      </c>
      <c r="C45" s="18" t="inlineStr">
        <is>
          <t>BREAKER</t>
        </is>
      </c>
      <c r="D45" s="6" t="inlineStr">
        <is>
          <t>Start Time</t>
        </is>
      </c>
      <c r="E45" s="6" t="inlineStr">
        <is>
          <t>End Time</t>
        </is>
      </c>
      <c r="F45" s="6" t="inlineStr">
        <is>
          <t>Hours</t>
        </is>
      </c>
      <c r="G45" s="7" t="inlineStr">
        <is>
          <t>Trade Day</t>
        </is>
      </c>
      <c r="H45" s="7" t="inlineStr">
        <is>
          <t>Trade Day</t>
        </is>
      </c>
      <c r="I45" s="7" t="inlineStr">
        <is>
          <t>Overtime</t>
        </is>
      </c>
      <c r="J45" s="7" t="inlineStr">
        <is>
          <t>Trade Day</t>
        </is>
      </c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6">
      <c r="A46" s="12" t="inlineStr"/>
      <c r="B46" s="12" t="inlineStr"/>
      <c r="C46" s="13" t="inlineStr">
        <is>
          <t>Bush, Shayland</t>
        </is>
      </c>
      <c r="D46" s="14" t="n">
        <v>0</v>
      </c>
      <c r="E46" s="14" t="n">
        <v>830</v>
      </c>
      <c r="F46" s="15">
        <f>IF(AND(D46&lt;&gt;"",E46&lt;&gt;""),INT(IF(E46&lt;D46,24+(INT(E46/100)+MOD(E46,100)/60)-(INT(D46/100)+MOD(D46,100)/60),(INT(E46/100)+MOD(E46,100)/60)-(INT(D46/100)+MOD(D46,100)/60))),"")</f>
        <v/>
      </c>
      <c r="G46" s="12" t="inlineStr"/>
      <c r="H46" s="12" t="inlineStr"/>
      <c r="I46" s="12" t="inlineStr"/>
      <c r="J46" s="12" t="inlineStr"/>
      <c r="K46" s="12" t="inlineStr"/>
      <c r="L46" s="12" t="inlineStr"/>
      <c r="M46" s="13" t="inlineStr"/>
      <c r="N46" s="14" t="inlineStr"/>
      <c r="O46" s="14" t="inlineStr"/>
      <c r="P46" s="15">
        <f>IF(AND(N46&lt;&gt;"",O46&lt;&gt;""),INT(IF(O46&lt;N46,24+(INT(O46/100)+MOD(O46,100)/60)-(INT(N46/100)+MOD(N46,100)/60),(INT(O46/100)+MOD(O46,100)/60)-(INT(N46/100)+MOD(N46,100)/60))),"")</f>
        <v/>
      </c>
      <c r="Q46" s="12" t="inlineStr"/>
      <c r="R46" s="12" t="inlineStr"/>
      <c r="S46" s="12" t="inlineStr"/>
      <c r="T46" s="12" t="inlineStr"/>
    </row>
    <row r="47">
      <c r="A47" s="12" t="inlineStr"/>
      <c r="B47" s="12" t="inlineStr"/>
      <c r="C47" s="13" t="inlineStr">
        <is>
          <t>Keyes, Sean</t>
        </is>
      </c>
      <c r="D47" s="14" t="n">
        <v>100</v>
      </c>
      <c r="E47" s="14" t="n">
        <v>930</v>
      </c>
      <c r="F47" s="15">
        <f>IF(AND(D47&lt;&gt;"",E47&lt;&gt;""),INT(IF(E47&lt;D47,24+(INT(E47/100)+MOD(E47,100)/60)-(INT(D47/100)+MOD(D47,100)/60),(INT(E47/100)+MOD(E47,100)/60)-(INT(D47/100)+MOD(D47,100)/60))),"")</f>
        <v/>
      </c>
      <c r="G47" s="12" t="inlineStr"/>
      <c r="H47" s="12" t="inlineStr"/>
      <c r="I47" s="12" t="inlineStr"/>
      <c r="J47" s="12" t="inlineStr"/>
      <c r="K47" s="12" t="inlineStr"/>
      <c r="L47" s="12" t="inlineStr"/>
      <c r="M47" s="13" t="inlineStr"/>
      <c r="N47" s="14" t="inlineStr"/>
      <c r="O47" s="14" t="inlineStr"/>
      <c r="P47" s="15">
        <f>IF(AND(N47&lt;&gt;"",O47&lt;&gt;""),INT(IF(O47&lt;N47,24+(INT(O47/100)+MOD(O47,100)/60)-(INT(N47/100)+MOD(N47,100)/60),(INT(O47/100)+MOD(O47,100)/60)-(INT(N47/100)+MOD(N47,100)/60))),"")</f>
        <v/>
      </c>
      <c r="Q47" s="12" t="inlineStr"/>
      <c r="R47" s="12" t="inlineStr"/>
      <c r="S47" s="12" t="inlineStr"/>
      <c r="T47" s="12" t="inlineStr"/>
    </row>
    <row r="49">
      <c r="A49" s="20" t="inlineStr">
        <is>
          <t>NOTES (CALL OFFS, INCIDENTS, OPERATIONAL CHANGES, DETOURS)</t>
        </is>
      </c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21" t="inlineStr">
        <is>
          <t>HOURS SCHEDULED:</t>
        </is>
      </c>
      <c r="B53" s="5" t="n"/>
      <c r="C53" s="5" t="n"/>
      <c r="D53" s="5" t="n"/>
      <c r="E53" s="22" t="n">
        <v>287</v>
      </c>
      <c r="F53" s="5" t="n"/>
      <c r="G53" s="21" t="inlineStr">
        <is>
          <t>ADDITIONAL HOURS:</t>
        </is>
      </c>
      <c r="H53" s="5" t="n"/>
      <c r="I53" s="5" t="n"/>
      <c r="J53" s="5" t="n"/>
      <c r="K53" s="5" t="n"/>
      <c r="L53" s="21" t="inlineStr">
        <is>
          <t>TOTAL HOURS:</t>
        </is>
      </c>
      <c r="M53" s="5" t="n"/>
      <c r="N53" s="5" t="n"/>
      <c r="O53" s="22" t="n">
        <v>287</v>
      </c>
      <c r="P53" s="5" t="n"/>
      <c r="Q53" s="5" t="n"/>
      <c r="R53" s="5" t="n"/>
      <c r="S53" s="5" t="n"/>
      <c r="T53" s="5" t="n"/>
    </row>
    <row r="54">
      <c r="A54" s="21" t="inlineStr">
        <is>
          <t>EXPECTED HOURS</t>
        </is>
      </c>
      <c r="B54" s="5" t="n"/>
      <c r="C54" s="5" t="n"/>
      <c r="D54" s="5" t="n"/>
      <c r="E54" s="22" t="n">
        <v>305</v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9:J49"/>
  </mergeCells>
  <pageMargins left="0.1" right="0.1" top="0.25" bottom="0.25" header="0.1" footer="0.1"/>
  <pageSetup orientation="portrait" paperSize="1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4:T44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1100</v>
      </c>
      <c r="E16" s="14" t="n">
        <v>1930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1200</v>
      </c>
      <c r="O16" s="14" t="n">
        <v>1930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1100</v>
      </c>
      <c r="E17" s="14" t="n">
        <v>1730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Blaylock, Jumah</t>
        </is>
      </c>
      <c r="N17" s="14" t="n">
        <v>1300</v>
      </c>
      <c r="O17" s="14" t="n">
        <v>2130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Dieguez, Cristobal</t>
        </is>
      </c>
      <c r="D18" s="14" t="n">
        <v>1100</v>
      </c>
      <c r="E18" s="14" t="n">
        <v>1930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Le, Don</t>
        </is>
      </c>
      <c r="D19" s="14" t="n">
        <v>1300</v>
      </c>
      <c r="E19" s="14" t="n">
        <v>2130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Fuller, Kameisha</t>
        </is>
      </c>
      <c r="N19" s="14" t="n">
        <v>1400</v>
      </c>
      <c r="O19" s="14" t="n">
        <v>2130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Dixon, Shane</t>
        </is>
      </c>
      <c r="D20" s="14" t="n">
        <v>1400</v>
      </c>
      <c r="E20" s="14" t="n">
        <v>2230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De Haro, Carlos</t>
        </is>
      </c>
      <c r="D21" s="14" t="n">
        <v>1500</v>
      </c>
      <c r="E21" s="14" t="n">
        <v>2330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Bates, Aaron</t>
        </is>
      </c>
      <c r="D22" s="14" t="n">
        <v>1600</v>
      </c>
      <c r="E22" s="14" t="n">
        <v>2330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Avery, Tracey</t>
        </is>
      </c>
      <c r="N22" s="14" t="n">
        <v>1100</v>
      </c>
      <c r="O22" s="14" t="n">
        <v>1600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Somoza, Jose</t>
        </is>
      </c>
      <c r="D23" s="14" t="n">
        <v>1700</v>
      </c>
      <c r="E23" s="14" t="n">
        <v>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Theus, Tieran</t>
        </is>
      </c>
      <c r="N23" s="14" t="n">
        <v>1300</v>
      </c>
      <c r="O23" s="14" t="n">
        <v>2030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Navarro, Jesus</t>
        </is>
      </c>
      <c r="D24" s="14" t="n">
        <v>1700</v>
      </c>
      <c r="E24" s="14" t="n">
        <v>2330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Tejeda, Jose</t>
        </is>
      </c>
      <c r="N24" s="14" t="n">
        <v>1400</v>
      </c>
      <c r="O24" s="14" t="n">
        <v>2230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Davis, Kenneth</t>
        </is>
      </c>
      <c r="D25" s="14" t="n">
        <v>1700</v>
      </c>
      <c r="E25" s="14" t="n">
        <v>2200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Green, Darnell</t>
        </is>
      </c>
      <c r="D26" s="14" t="n">
        <v>1700</v>
      </c>
      <c r="E26" s="14" t="n">
        <v>2300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Acevedo, Miguel</t>
        </is>
      </c>
      <c r="D27" s="14" t="n">
        <v>1800</v>
      </c>
      <c r="E27" s="14" t="n">
        <v>230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Bland, Kim</t>
        </is>
      </c>
      <c r="D28" s="14" t="n">
        <v>1800</v>
      </c>
      <c r="E28" s="14" t="n">
        <v>130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Franco, Juan</t>
        </is>
      </c>
      <c r="D30" s="14" t="n">
        <v>1200</v>
      </c>
      <c r="E30" s="14" t="n">
        <v>2030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Lee, Shenwu</t>
        </is>
      </c>
      <c r="D31" s="14" t="n">
        <v>1300</v>
      </c>
      <c r="E31" s="14" t="n">
        <v>2130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Stovall, Damon</t>
        </is>
      </c>
      <c r="D32" s="14" t="n">
        <v>1400</v>
      </c>
      <c r="E32" s="14" t="n">
        <v>2130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Jacques, Maria</t>
        </is>
      </c>
      <c r="D33" s="14" t="n">
        <v>1500</v>
      </c>
      <c r="E33" s="14" t="n">
        <v>2330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Monroy Romero, Marta</t>
        </is>
      </c>
      <c r="D34" s="14" t="n">
        <v>1600</v>
      </c>
      <c r="E34" s="14" t="n">
        <v>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6" t="inlineStr">
        <is>
          <t>BUS#</t>
        </is>
      </c>
      <c r="B35" s="6" t="inlineStr">
        <is>
          <t>Relief</t>
        </is>
      </c>
      <c r="C35" s="18" t="inlineStr">
        <is>
          <t>BREAKER</t>
        </is>
      </c>
      <c r="D35" s="6" t="inlineStr">
        <is>
          <t>Start Time</t>
        </is>
      </c>
      <c r="E35" s="6" t="inlineStr">
        <is>
          <t>End Time</t>
        </is>
      </c>
      <c r="F35" s="6" t="inlineStr">
        <is>
          <t>Hours</t>
        </is>
      </c>
      <c r="G35" s="7" t="inlineStr">
        <is>
          <t>Trade Day</t>
        </is>
      </c>
      <c r="H35" s="7" t="inlineStr">
        <is>
          <t>Trade Day</t>
        </is>
      </c>
      <c r="I35" s="7" t="inlineStr">
        <is>
          <t>Overtime</t>
        </is>
      </c>
      <c r="J35" s="7" t="inlineStr">
        <is>
          <t>Trade Day</t>
        </is>
      </c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Williams, Sarah</t>
        </is>
      </c>
      <c r="D36" s="14" t="n">
        <v>1100</v>
      </c>
      <c r="E36" s="14" t="n">
        <v>1930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/>
      <c r="D37" s="14" t="inlineStr"/>
      <c r="E37" s="14" t="inlineStr"/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9">
      <c r="A39" s="20" t="inlineStr">
        <is>
          <t>NOTES (CALL OFFS, INCIDENTS, OPERATIONAL CHANGES, DETOURS)</t>
        </is>
      </c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21" t="inlineStr">
        <is>
          <t>HOURS SCHEDULED:</t>
        </is>
      </c>
      <c r="B43" s="5" t="n"/>
      <c r="C43" s="5" t="n"/>
      <c r="D43" s="5" t="n"/>
      <c r="E43" s="22" t="n">
        <v>182</v>
      </c>
      <c r="F43" s="5" t="n"/>
      <c r="G43" s="21" t="inlineStr">
        <is>
          <t>ADDITIONAL HOURS:</t>
        </is>
      </c>
      <c r="H43" s="5" t="n"/>
      <c r="I43" s="5" t="n"/>
      <c r="J43" s="5" t="n"/>
      <c r="K43" s="5" t="n"/>
      <c r="L43" s="21" t="inlineStr">
        <is>
          <t>TOTAL HOURS:</t>
        </is>
      </c>
      <c r="M43" s="5" t="n"/>
      <c r="N43" s="5" t="n"/>
      <c r="O43" s="22" t="n">
        <v>182</v>
      </c>
      <c r="P43" s="5" t="n"/>
      <c r="Q43" s="5" t="n"/>
      <c r="R43" s="5" t="n"/>
      <c r="S43" s="5" t="n"/>
      <c r="T43" s="5" t="n"/>
    </row>
    <row r="44">
      <c r="A44" s="21" t="inlineStr">
        <is>
          <t>EXPECTED HOURS</t>
        </is>
      </c>
      <c r="B44" s="5" t="n"/>
      <c r="C44" s="5" t="n"/>
      <c r="D44" s="5" t="n"/>
      <c r="E44" s="22" t="n">
        <v>305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A39:J39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Tuesday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Thomas, Devin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Bishop, Tycee</t>
        </is>
      </c>
      <c r="N16" s="14" t="n">
        <v>1900</v>
      </c>
      <c r="O16" s="14" t="n">
        <v>130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Sterling, James</t>
        </is>
      </c>
      <c r="D17" s="14" t="n">
        <v>1900</v>
      </c>
      <c r="E17" s="14" t="n">
        <v>230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Rodriguez, Rodrigo</t>
        </is>
      </c>
      <c r="N17" s="14" t="n">
        <v>2000</v>
      </c>
      <c r="O17" s="14" t="n">
        <v>430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Allen, Clarence</t>
        </is>
      </c>
      <c r="D18" s="14" t="n">
        <v>2000</v>
      </c>
      <c r="E18" s="14" t="n">
        <v>430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Hunt, Tujuana</t>
        </is>
      </c>
      <c r="N18" s="14" t="n">
        <v>2200</v>
      </c>
      <c r="O18" s="14" t="n">
        <v>630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Todman, Shamon</t>
        </is>
      </c>
      <c r="D19" s="14" t="n">
        <v>2000</v>
      </c>
      <c r="E19" s="14" t="n">
        <v>430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Heard, Wynetta</t>
        </is>
      </c>
      <c r="N19" s="14" t="n">
        <v>2300</v>
      </c>
      <c r="O19" s="14" t="n">
        <v>730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Fowler, Keisha</t>
        </is>
      </c>
      <c r="D20" s="14" t="n">
        <v>2100</v>
      </c>
      <c r="E20" s="14" t="n">
        <v>530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Wilson, Shanon</t>
        </is>
      </c>
      <c r="N20" s="14" t="n">
        <v>2300</v>
      </c>
      <c r="O20" s="14" t="n">
        <v>730</v>
      </c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Morales, Brandon</t>
        </is>
      </c>
      <c r="D21" s="14" t="n">
        <v>2200</v>
      </c>
      <c r="E21" s="14" t="n">
        <v>200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7" t="inlineStr">
        <is>
          <t>CBC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Williams, Lee</t>
        </is>
      </c>
      <c r="D22" s="14" t="n">
        <v>2200</v>
      </c>
      <c r="E22" s="14" t="n">
        <v>630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Adams, Lashonda</t>
        </is>
      </c>
      <c r="D23" s="14" t="n">
        <v>2200</v>
      </c>
      <c r="E23" s="14" t="n">
        <v>430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Mitchell Jr, Gary</t>
        </is>
      </c>
      <c r="D24" s="14" t="n">
        <v>2300</v>
      </c>
      <c r="E24" s="14" t="n">
        <v>930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6" t="inlineStr">
        <is>
          <t>BUS#</t>
        </is>
      </c>
      <c r="L24" s="6" t="inlineStr">
        <is>
          <t>Relief</t>
        </is>
      </c>
      <c r="M24" s="19" t="inlineStr">
        <is>
          <t>BP LOT</t>
        </is>
      </c>
      <c r="N24" s="6" t="inlineStr">
        <is>
          <t>Start Time</t>
        </is>
      </c>
      <c r="O24" s="6" t="inlineStr">
        <is>
          <t>End Time</t>
        </is>
      </c>
      <c r="P24" s="6" t="inlineStr">
        <is>
          <t>Hours</t>
        </is>
      </c>
      <c r="Q24" s="7" t="inlineStr">
        <is>
          <t>Trade Day</t>
        </is>
      </c>
      <c r="R24" s="7" t="inlineStr">
        <is>
          <t>Trade Day</t>
        </is>
      </c>
      <c r="S24" s="7" t="inlineStr">
        <is>
          <t>Overtime</t>
        </is>
      </c>
      <c r="T24" s="7" t="inlineStr">
        <is>
          <t>Trade Day</t>
        </is>
      </c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>
        <is>
          <t>Spenser, Purshane</t>
        </is>
      </c>
      <c r="N25" s="14" t="n">
        <v>1900</v>
      </c>
      <c r="O25" s="14" t="n">
        <v>230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Halk, Carmella</t>
        </is>
      </c>
      <c r="D26" s="14" t="n">
        <v>1900</v>
      </c>
      <c r="E26" s="14" t="n">
        <v>230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Grantham, Bryan</t>
        </is>
      </c>
      <c r="N26" s="14" t="n">
        <v>2100</v>
      </c>
      <c r="O26" s="14" t="n">
        <v>530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/>
      <c r="D27" s="14" t="inlineStr"/>
      <c r="E27" s="14" t="inlineStr"/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Brown, Petrena</t>
        </is>
      </c>
      <c r="D29" s="14" t="n">
        <v>2000</v>
      </c>
      <c r="E29" s="14" t="n">
        <v>430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Wright, Steven</t>
        </is>
      </c>
      <c r="D30" s="14" t="n">
        <v>2100</v>
      </c>
      <c r="E30" s="14" t="n">
        <v>530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2">
      <c r="A32" s="20" t="inlineStr">
        <is>
          <t>NOTES (CALL OFFS, INCIDENTS, OPERATIONAL CHANGES, DETOURS)</t>
        </is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141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141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K12:O12"/>
    <mergeCell ref="P12:T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4:T5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Wissar, Jacob</t>
        </is>
      </c>
      <c r="D16" s="14" t="n">
        <v>0</v>
      </c>
      <c r="E16" s="14" t="n">
        <v>830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Gonzalez, Maria</t>
        </is>
      </c>
      <c r="N16" s="14" t="n">
        <v>200</v>
      </c>
      <c r="O16" s="14" t="n">
        <v>1030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Johnson, Kyesha</t>
        </is>
      </c>
      <c r="N17" s="14" t="n">
        <v>300</v>
      </c>
      <c r="O17" s="14" t="n">
        <v>1130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100</v>
      </c>
      <c r="E18" s="14" t="n">
        <v>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Dunlap, Calvin</t>
        </is>
      </c>
      <c r="N18" s="14" t="n">
        <v>400</v>
      </c>
      <c r="O18" s="14" t="n">
        <v>1230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Mitchell Jr, Gary</t>
        </is>
      </c>
      <c r="D19" s="14" t="n">
        <v>100</v>
      </c>
      <c r="E19" s="14" t="n">
        <v>930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Taylor, April</t>
        </is>
      </c>
      <c r="N19" s="14" t="n">
        <v>600</v>
      </c>
      <c r="O19" s="14" t="n">
        <v>1430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Goodwin, Andre</t>
        </is>
      </c>
      <c r="D20" s="14" t="n">
        <v>200</v>
      </c>
      <c r="E20" s="14" t="n">
        <v>830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Gunderson, Maria</t>
        </is>
      </c>
      <c r="N20" s="14" t="n">
        <v>800</v>
      </c>
      <c r="O20" s="14" t="n">
        <v>1630</v>
      </c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Soto, Guadalupe</t>
        </is>
      </c>
      <c r="D21" s="14" t="n">
        <v>200</v>
      </c>
      <c r="E21" s="14" t="n">
        <v>1030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>
        <is>
          <t>Melgar, Arturo</t>
        </is>
      </c>
      <c r="N21" s="14" t="n">
        <v>1000</v>
      </c>
      <c r="O21" s="14" t="n">
        <v>1830</v>
      </c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Paulk, Timmie</t>
        </is>
      </c>
      <c r="D22" s="14" t="n">
        <v>200</v>
      </c>
      <c r="E22" s="14" t="n">
        <v>1030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7" t="inlineStr">
        <is>
          <t>CBC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Moore, Gwendolyn</t>
        </is>
      </c>
      <c r="D23" s="14" t="n">
        <v>300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Kassa, Mekonnen</t>
        </is>
      </c>
      <c r="D24" s="14" t="n">
        <v>300</v>
      </c>
      <c r="E24" s="14" t="n">
        <v>1130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Dawson, Patty</t>
        </is>
      </c>
      <c r="D25" s="14" t="n">
        <v>300</v>
      </c>
      <c r="E25" s="14" t="n">
        <v>1030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6" t="inlineStr">
        <is>
          <t>BUS#</t>
        </is>
      </c>
      <c r="L25" s="6" t="inlineStr">
        <is>
          <t>Relief</t>
        </is>
      </c>
      <c r="M25" s="19" t="inlineStr">
        <is>
          <t>BP LOT</t>
        </is>
      </c>
      <c r="N25" s="6" t="inlineStr">
        <is>
          <t>Start Time</t>
        </is>
      </c>
      <c r="O25" s="6" t="inlineStr">
        <is>
          <t>End Time</t>
        </is>
      </c>
      <c r="P25" s="6" t="inlineStr">
        <is>
          <t>Hours</t>
        </is>
      </c>
      <c r="Q25" s="7" t="inlineStr">
        <is>
          <t>Trade Day</t>
        </is>
      </c>
      <c r="R25" s="7" t="inlineStr">
        <is>
          <t>Trade Day</t>
        </is>
      </c>
      <c r="S25" s="7" t="inlineStr">
        <is>
          <t>Overtime</t>
        </is>
      </c>
      <c r="T25" s="7" t="inlineStr">
        <is>
          <t>Trade Day</t>
        </is>
      </c>
    </row>
    <row r="26">
      <c r="A26" s="12" t="inlineStr"/>
      <c r="B26" s="12" t="inlineStr"/>
      <c r="C26" s="13" t="inlineStr">
        <is>
          <t>Osorio, Erik</t>
        </is>
      </c>
      <c r="D26" s="14" t="n">
        <v>400</v>
      </c>
      <c r="E26" s="14" t="n">
        <v>1230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Handy, Veta</t>
        </is>
      </c>
      <c r="N26" s="14" t="n">
        <v>600</v>
      </c>
      <c r="O26" s="14" t="n">
        <v>1330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Wilkins, Jesus</t>
        </is>
      </c>
      <c r="D27" s="14" t="n">
        <v>400</v>
      </c>
      <c r="E27" s="14" t="n">
        <v>900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Marshall, Sharon</t>
        </is>
      </c>
      <c r="N27" s="14" t="n">
        <v>700</v>
      </c>
      <c r="O27" s="14" t="n">
        <v>1500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Handy, Veta</t>
        </is>
      </c>
      <c r="D28" s="14" t="n">
        <v>500</v>
      </c>
      <c r="E28" s="14" t="n">
        <v>1130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Deshone, Sharion</t>
        </is>
      </c>
      <c r="N28" s="14" t="n">
        <v>800</v>
      </c>
      <c r="O28" s="14" t="n">
        <v>1530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Denton, Phillip</t>
        </is>
      </c>
      <c r="D29" s="14" t="n">
        <v>500</v>
      </c>
      <c r="E29" s="14" t="n">
        <v>1230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>
        <is>
          <t>Powers, Helen</t>
        </is>
      </c>
      <c r="N29" s="14" t="n">
        <v>900</v>
      </c>
      <c r="O29" s="14" t="n">
        <v>1630</v>
      </c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Morgan, Andre</t>
        </is>
      </c>
      <c r="D30" s="14" t="n">
        <v>500</v>
      </c>
      <c r="E30" s="14" t="n">
        <v>1330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Broaden, Louise</t>
        </is>
      </c>
      <c r="D31" s="14" t="n">
        <v>500</v>
      </c>
      <c r="E31" s="14" t="n">
        <v>1330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Mills, Hiram</t>
        </is>
      </c>
      <c r="D32" s="14" t="n">
        <v>600</v>
      </c>
      <c r="E32" s="14" t="n">
        <v>1330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Velasquez, Carlos</t>
        </is>
      </c>
      <c r="D33" s="14" t="n">
        <v>700</v>
      </c>
      <c r="E33" s="14" t="n">
        <v>1530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Mcgee, Briana</t>
        </is>
      </c>
      <c r="D34" s="14" t="n">
        <v>700</v>
      </c>
      <c r="E34" s="14" t="n">
        <v>1200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Walker, Larry</t>
        </is>
      </c>
      <c r="D35" s="14" t="n">
        <v>800</v>
      </c>
      <c r="E35" s="14" t="n">
        <v>1430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Davis, Dominique</t>
        </is>
      </c>
      <c r="D36" s="14" t="n">
        <v>900</v>
      </c>
      <c r="E36" s="14" t="n">
        <v>1630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Carter, Karen</t>
        </is>
      </c>
      <c r="D37" s="14" t="n">
        <v>900</v>
      </c>
      <c r="E37" s="14" t="n">
        <v>1730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Ramirez, Ruben</t>
        </is>
      </c>
      <c r="D38" s="14" t="n">
        <v>1000</v>
      </c>
      <c r="E38" s="14" t="n">
        <v>1830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Gonzalez, Christina</t>
        </is>
      </c>
      <c r="D39" s="14" t="n">
        <v>1000</v>
      </c>
      <c r="E39" s="14" t="n">
        <v>1730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Sterling, Akie</t>
        </is>
      </c>
      <c r="D41" s="14" t="n">
        <v>600</v>
      </c>
      <c r="E41" s="14" t="n">
        <v>1430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Adair Jr, Cleophus</t>
        </is>
      </c>
      <c r="D42" s="14" t="n">
        <v>700</v>
      </c>
      <c r="E42" s="14" t="n">
        <v>1430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>
        <is>
          <t>Simmons, Meyoshi</t>
        </is>
      </c>
      <c r="D43" s="14" t="n">
        <v>800</v>
      </c>
      <c r="E43" s="14" t="n">
        <v>1430</v>
      </c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Gutierrez, Jose</t>
        </is>
      </c>
      <c r="D44" s="14" t="n">
        <v>900</v>
      </c>
      <c r="E44" s="14" t="n">
        <v>1730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12" t="inlineStr"/>
      <c r="B45" s="12" t="inlineStr"/>
      <c r="C45" s="13" t="inlineStr">
        <is>
          <t>Mejia, Ernesto</t>
        </is>
      </c>
      <c r="D45" s="14" t="n">
        <v>1000</v>
      </c>
      <c r="E45" s="14" t="n">
        <v>1830</v>
      </c>
      <c r="F45" s="15">
        <f>IF(AND(D45&lt;&gt;"",E45&lt;&gt;""),INT(IF(E45&lt;D45,24+(INT(E45/100)+MOD(E45,100)/60)-(INT(D45/100)+MOD(D45,100)/60),(INT(E45/100)+MOD(E45,100)/60)-(INT(D45/100)+MOD(D45,100)/60))),"")</f>
        <v/>
      </c>
      <c r="G45" s="12" t="inlineStr"/>
      <c r="H45" s="12" t="inlineStr"/>
      <c r="I45" s="12" t="inlineStr"/>
      <c r="J45" s="12" t="inlineStr"/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6">
      <c r="A46" s="6" t="inlineStr">
        <is>
          <t>BUS#</t>
        </is>
      </c>
      <c r="B46" s="6" t="inlineStr">
        <is>
          <t>Relief</t>
        </is>
      </c>
      <c r="C46" s="18" t="inlineStr">
        <is>
          <t>BREAKER</t>
        </is>
      </c>
      <c r="D46" s="6" t="inlineStr">
        <is>
          <t>Start Time</t>
        </is>
      </c>
      <c r="E46" s="6" t="inlineStr">
        <is>
          <t>End Time</t>
        </is>
      </c>
      <c r="F46" s="6" t="inlineStr">
        <is>
          <t>Hours</t>
        </is>
      </c>
      <c r="G46" s="7" t="inlineStr">
        <is>
          <t>Trade Day</t>
        </is>
      </c>
      <c r="H46" s="7" t="inlineStr">
        <is>
          <t>Trade Day</t>
        </is>
      </c>
      <c r="I46" s="7" t="inlineStr">
        <is>
          <t>Overtime</t>
        </is>
      </c>
      <c r="J46" s="7" t="inlineStr">
        <is>
          <t>Trade Day</t>
        </is>
      </c>
      <c r="K46" s="12" t="inlineStr"/>
      <c r="L46" s="12" t="inlineStr"/>
      <c r="M46" s="13" t="inlineStr"/>
      <c r="N46" s="14" t="inlineStr"/>
      <c r="O46" s="14" t="inlineStr"/>
      <c r="P46" s="15">
        <f>IF(AND(N46&lt;&gt;"",O46&lt;&gt;""),INT(IF(O46&lt;N46,24+(INT(O46/100)+MOD(O46,100)/60)-(INT(N46/100)+MOD(N46,100)/60),(INT(O46/100)+MOD(O46,100)/60)-(INT(N46/100)+MOD(N46,100)/60))),"")</f>
        <v/>
      </c>
      <c r="Q46" s="12" t="inlineStr"/>
      <c r="R46" s="12" t="inlineStr"/>
      <c r="S46" s="12" t="inlineStr"/>
      <c r="T46" s="12" t="inlineStr"/>
    </row>
    <row r="47">
      <c r="A47" s="12" t="inlineStr"/>
      <c r="B47" s="12" t="inlineStr"/>
      <c r="C47" s="13" t="inlineStr">
        <is>
          <t>Keyes, Sean</t>
        </is>
      </c>
      <c r="D47" s="14" t="n">
        <v>100</v>
      </c>
      <c r="E47" s="14" t="n">
        <v>930</v>
      </c>
      <c r="F47" s="15">
        <f>IF(AND(D47&lt;&gt;"",E47&lt;&gt;""),INT(IF(E47&lt;D47,24+(INT(E47/100)+MOD(E47,100)/60)-(INT(D47/100)+MOD(D47,100)/60),(INT(E47/100)+MOD(E47,100)/60)-(INT(D47/100)+MOD(D47,100)/60))),"")</f>
        <v/>
      </c>
      <c r="G47" s="12" t="inlineStr"/>
      <c r="H47" s="12" t="inlineStr"/>
      <c r="I47" s="12" t="inlineStr"/>
      <c r="J47" s="12" t="inlineStr"/>
      <c r="K47" s="12" t="inlineStr"/>
      <c r="L47" s="12" t="inlineStr"/>
      <c r="M47" s="13" t="inlineStr"/>
      <c r="N47" s="14" t="inlineStr"/>
      <c r="O47" s="14" t="inlineStr"/>
      <c r="P47" s="15">
        <f>IF(AND(N47&lt;&gt;"",O47&lt;&gt;""),INT(IF(O47&lt;N47,24+(INT(O47/100)+MOD(O47,100)/60)-(INT(N47/100)+MOD(N47,100)/60),(INT(O47/100)+MOD(O47,100)/60)-(INT(N47/100)+MOD(N47,100)/60))),"")</f>
        <v/>
      </c>
      <c r="Q47" s="12" t="inlineStr"/>
      <c r="R47" s="12" t="inlineStr"/>
      <c r="S47" s="12" t="inlineStr"/>
      <c r="T47" s="12" t="inlineStr"/>
    </row>
    <row r="48">
      <c r="A48" s="12" t="inlineStr"/>
      <c r="B48" s="12" t="inlineStr"/>
      <c r="C48" s="13" t="inlineStr">
        <is>
          <t>Meighan, Murlin</t>
        </is>
      </c>
      <c r="D48" s="14" t="n">
        <v>400</v>
      </c>
      <c r="E48" s="14" t="n">
        <v>1230</v>
      </c>
      <c r="F48" s="15">
        <f>IF(AND(D48&lt;&gt;"",E48&lt;&gt;""),INT(IF(E48&lt;D48,24+(INT(E48/100)+MOD(E48,100)/60)-(INT(D48/100)+MOD(D48,100)/60),(INT(E48/100)+MOD(E48,100)/60)-(INT(D48/100)+MOD(D48,100)/60))),"")</f>
        <v/>
      </c>
      <c r="G48" s="12" t="inlineStr"/>
      <c r="H48" s="12" t="inlineStr"/>
      <c r="I48" s="12" t="inlineStr"/>
      <c r="J48" s="12" t="inlineStr"/>
      <c r="K48" s="12" t="inlineStr"/>
      <c r="L48" s="12" t="inlineStr"/>
      <c r="M48" s="13" t="inlineStr"/>
      <c r="N48" s="14" t="inlineStr"/>
      <c r="O48" s="14" t="inlineStr"/>
      <c r="P48" s="15">
        <f>IF(AND(N48&lt;&gt;"",O48&lt;&gt;""),INT(IF(O48&lt;N48,24+(INT(O48/100)+MOD(O48,100)/60)-(INT(N48/100)+MOD(N48,100)/60),(INT(O48/100)+MOD(O48,100)/60)-(INT(N48/100)+MOD(N48,100)/60))),"")</f>
        <v/>
      </c>
      <c r="Q48" s="12" t="inlineStr"/>
      <c r="R48" s="12" t="inlineStr"/>
      <c r="S48" s="12" t="inlineStr"/>
      <c r="T48" s="12" t="inlineStr"/>
    </row>
    <row r="50">
      <c r="A50" s="20" t="inlineStr">
        <is>
          <t>NOTES (CALL OFFS, INCIDENTS, OPERATIONAL CHANGES, DETOURS)</t>
        </is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>
      <c r="A54" s="21" t="inlineStr">
        <is>
          <t>HOURS SCHEDULED:</t>
        </is>
      </c>
      <c r="B54" s="5" t="n"/>
      <c r="C54" s="5" t="n"/>
      <c r="D54" s="5" t="n"/>
      <c r="E54" s="22" t="n">
        <v>305</v>
      </c>
      <c r="F54" s="5" t="n"/>
      <c r="G54" s="21" t="inlineStr">
        <is>
          <t>ADDITIONAL HOURS:</t>
        </is>
      </c>
      <c r="H54" s="5" t="n"/>
      <c r="I54" s="5" t="n"/>
      <c r="J54" s="5" t="n"/>
      <c r="K54" s="5" t="n"/>
      <c r="L54" s="21" t="inlineStr">
        <is>
          <t>TOTAL HOURS:</t>
        </is>
      </c>
      <c r="M54" s="5" t="n"/>
      <c r="N54" s="5" t="n"/>
      <c r="O54" s="22" t="n">
        <v>305</v>
      </c>
      <c r="P54" s="5" t="n"/>
      <c r="Q54" s="5" t="n"/>
      <c r="R54" s="5" t="n"/>
      <c r="S54" s="5" t="n"/>
      <c r="T54" s="5" t="n"/>
    </row>
    <row r="55">
      <c r="A55" s="21" t="inlineStr">
        <is>
          <t>EXPECTED HOURS</t>
        </is>
      </c>
      <c r="B55" s="5" t="n"/>
      <c r="C55" s="5" t="n"/>
      <c r="D55" s="5" t="n"/>
      <c r="E55" s="22" t="n">
        <v>305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A50:J5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4:T4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1100</v>
      </c>
      <c r="E16" s="14" t="n">
        <v>1930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1200</v>
      </c>
      <c r="O16" s="14" t="n">
        <v>1930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Gilliams, Tyetanisha</t>
        </is>
      </c>
      <c r="D17" s="14" t="n">
        <v>1100</v>
      </c>
      <c r="E17" s="14" t="n">
        <v>1730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Bland, Kim</t>
        </is>
      </c>
      <c r="N17" s="14" t="n">
        <v>1800</v>
      </c>
      <c r="O17" s="14" t="n">
        <v>130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Lopez, Daniel</t>
        </is>
      </c>
      <c r="D18" s="14" t="n">
        <v>1300</v>
      </c>
      <c r="E18" s="14" t="n">
        <v>2130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Velasquez, Elizabeth</t>
        </is>
      </c>
      <c r="D19" s="14" t="n">
        <v>1300</v>
      </c>
      <c r="E19" s="14" t="n">
        <v>2130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Theus, Tieran</t>
        </is>
      </c>
      <c r="D20" s="14" t="n">
        <v>1300</v>
      </c>
      <c r="E20" s="14" t="n">
        <v>2030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Stovall, Damon</t>
        </is>
      </c>
      <c r="D21" s="14" t="n">
        <v>1400</v>
      </c>
      <c r="E21" s="14" t="n">
        <v>2130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Blaylock, Jumah</t>
        </is>
      </c>
      <c r="D22" s="14" t="n">
        <v>1400</v>
      </c>
      <c r="E22" s="14" t="n">
        <v>2230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Dieguez, Cristobal</t>
        </is>
      </c>
      <c r="N22" s="14" t="n">
        <v>1100</v>
      </c>
      <c r="O22" s="14" t="n">
        <v>1930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1400</v>
      </c>
      <c r="E23" s="14" t="n">
        <v>2230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Avery, Tracey</t>
        </is>
      </c>
      <c r="N23" s="14" t="n">
        <v>1100</v>
      </c>
      <c r="O23" s="14" t="n">
        <v>1600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1600</v>
      </c>
      <c r="E24" s="14" t="n">
        <v>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Harris, Clarence</t>
        </is>
      </c>
      <c r="N24" s="14" t="n">
        <v>1200</v>
      </c>
      <c r="O24" s="14" t="n">
        <v>2030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Davis, Kenneth</t>
        </is>
      </c>
      <c r="D25" s="14" t="n">
        <v>1700</v>
      </c>
      <c r="E25" s="14" t="n">
        <v>2200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Green, Darnell</t>
        </is>
      </c>
      <c r="D26" s="14" t="n">
        <v>1700</v>
      </c>
      <c r="E26" s="14" t="n">
        <v>130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Acevedo, Miguel</t>
        </is>
      </c>
      <c r="D27" s="14" t="n">
        <v>1800</v>
      </c>
      <c r="E27" s="14" t="n">
        <v>230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Freeman, Glenn</t>
        </is>
      </c>
      <c r="D28" s="14" t="n">
        <v>1800</v>
      </c>
      <c r="E28" s="14" t="n">
        <v>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Spenser, Purshane</t>
        </is>
      </c>
      <c r="D29" s="14" t="n">
        <v>1800</v>
      </c>
      <c r="E29" s="14" t="n">
        <v>130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6" t="inlineStr">
        <is>
          <t>BUS#</t>
        </is>
      </c>
      <c r="B30" s="6" t="inlineStr">
        <is>
          <t>Relief</t>
        </is>
      </c>
      <c r="C30" s="16" t="inlineStr">
        <is>
          <t>WEST LOT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Franco, Juan</t>
        </is>
      </c>
      <c r="D31" s="14" t="n">
        <v>1200</v>
      </c>
      <c r="E31" s="14" t="n">
        <v>2030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Bates, Aaron</t>
        </is>
      </c>
      <c r="D32" s="14" t="n">
        <v>1500</v>
      </c>
      <c r="E32" s="14" t="n">
        <v>2130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Navarro, Jesus</t>
        </is>
      </c>
      <c r="D33" s="14" t="n">
        <v>1600</v>
      </c>
      <c r="E33" s="14" t="n">
        <v>2330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Monroy Romero, Marta</t>
        </is>
      </c>
      <c r="D34" s="14" t="n">
        <v>1700</v>
      </c>
      <c r="E34" s="14" t="n">
        <v>130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Shaffer, Tanesha</t>
        </is>
      </c>
      <c r="D35" s="14" t="n">
        <v>1700</v>
      </c>
      <c r="E35" s="14" t="n">
        <v>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Fuller, Kameisha</t>
        </is>
      </c>
      <c r="D37" s="14" t="n">
        <v>1400</v>
      </c>
      <c r="E37" s="14" t="n">
        <v>2130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40">
      <c r="A40" s="20" t="inlineStr">
        <is>
          <t>NOTES (CALL OFFS, INCIDENTS, OPERATIONAL CHANGES, DETOURS)</t>
        </is>
      </c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21" t="inlineStr">
        <is>
          <t>HOURS SCHEDULED:</t>
        </is>
      </c>
      <c r="B44" s="5" t="n"/>
      <c r="C44" s="5" t="n"/>
      <c r="D44" s="5" t="n"/>
      <c r="E44" s="22" t="n">
        <v>180</v>
      </c>
      <c r="F44" s="5" t="n"/>
      <c r="G44" s="21" t="inlineStr">
        <is>
          <t>ADDITIONAL HOURS:</t>
        </is>
      </c>
      <c r="H44" s="5" t="n"/>
      <c r="I44" s="5" t="n"/>
      <c r="J44" s="5" t="n"/>
      <c r="K44" s="5" t="n"/>
      <c r="L44" s="21" t="inlineStr">
        <is>
          <t>TOTAL HOURS:</t>
        </is>
      </c>
      <c r="M44" s="5" t="n"/>
      <c r="N44" s="5" t="n"/>
      <c r="O44" s="22" t="n">
        <v>180</v>
      </c>
      <c r="P44" s="5" t="n"/>
      <c r="Q44" s="5" t="n"/>
      <c r="R44" s="5" t="n"/>
      <c r="S44" s="5" t="n"/>
      <c r="T44" s="5" t="n"/>
    </row>
    <row r="45">
      <c r="A45" s="21" t="inlineStr">
        <is>
          <t>EXPECTED HOURS</t>
        </is>
      </c>
      <c r="B45" s="5" t="n"/>
      <c r="C45" s="5" t="n"/>
      <c r="D45" s="5" t="n"/>
      <c r="E45" s="22" t="n">
        <v>305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A40:J40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4:T39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Wednesday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Thomas, Devin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2000</v>
      </c>
      <c r="O16" s="14" t="n">
        <v>430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Todman, Shamon</t>
        </is>
      </c>
      <c r="D17" s="14" t="n">
        <v>2000</v>
      </c>
      <c r="E17" s="14" t="n">
        <v>430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Barbee, Maidest</t>
        </is>
      </c>
      <c r="N17" s="14" t="n">
        <v>2100</v>
      </c>
      <c r="O17" s="14" t="n">
        <v>530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Brown, Petrena</t>
        </is>
      </c>
      <c r="D18" s="14" t="n">
        <v>2000</v>
      </c>
      <c r="E18" s="14" t="n">
        <v>430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Heard, Wynetta</t>
        </is>
      </c>
      <c r="N18" s="14" t="n">
        <v>2300</v>
      </c>
      <c r="O18" s="14" t="n">
        <v>730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Allen, Clarence</t>
        </is>
      </c>
      <c r="D19" s="14" t="n">
        <v>2100</v>
      </c>
      <c r="E19" s="14" t="n">
        <v>530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Grantham, Bryan</t>
        </is>
      </c>
      <c r="D20" s="14" t="n">
        <v>2100</v>
      </c>
      <c r="E20" s="14" t="n">
        <v>530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Fowler, Keisha</t>
        </is>
      </c>
      <c r="D21" s="14" t="n">
        <v>2200</v>
      </c>
      <c r="E21" s="14" t="n">
        <v>630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Adams, Lashonda</t>
        </is>
      </c>
      <c r="D22" s="14" t="n">
        <v>2200</v>
      </c>
      <c r="E22" s="14" t="n">
        <v>430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Bowie, Triston</t>
        </is>
      </c>
      <c r="D23" s="14" t="n">
        <v>2300</v>
      </c>
      <c r="E23" s="14" t="n">
        <v>730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Davis, Tonya</t>
        </is>
      </c>
      <c r="N23" s="14" t="n">
        <v>1900</v>
      </c>
      <c r="O23" s="14" t="n">
        <v>230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Smith, Jimmie</t>
        </is>
      </c>
      <c r="D24" s="14" t="n">
        <v>2300</v>
      </c>
      <c r="E24" s="14" t="n">
        <v>730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Halk, Carmella</t>
        </is>
      </c>
      <c r="D26" s="14" t="n">
        <v>1900</v>
      </c>
      <c r="E26" s="14" t="n">
        <v>230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Membreno, Irma</t>
        </is>
      </c>
      <c r="D27" s="14" t="n">
        <v>2000</v>
      </c>
      <c r="E27" s="14" t="n">
        <v>330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Morales, Brandon</t>
        </is>
      </c>
      <c r="D28" s="14" t="n">
        <v>2200</v>
      </c>
      <c r="E28" s="14" t="n">
        <v>200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Beamon, Letrice</t>
        </is>
      </c>
      <c r="D29" s="14" t="n">
        <v>2200</v>
      </c>
      <c r="E29" s="14" t="n">
        <v>200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6" t="inlineStr">
        <is>
          <t>BUS#</t>
        </is>
      </c>
      <c r="B30" s="6" t="inlineStr">
        <is>
          <t>Relief</t>
        </is>
      </c>
      <c r="C30" s="18" t="inlineStr">
        <is>
          <t>BREAKER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7" t="inlineStr">
        <is>
          <t>Trade Day</t>
        </is>
      </c>
      <c r="H30" s="7" t="inlineStr">
        <is>
          <t>Trade Day</t>
        </is>
      </c>
      <c r="I30" s="7" t="inlineStr">
        <is>
          <t>Overtime</t>
        </is>
      </c>
      <c r="J30" s="7" t="inlineStr">
        <is>
          <t>Trade Day</t>
        </is>
      </c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Wright, Steven</t>
        </is>
      </c>
      <c r="D31" s="14" t="n">
        <v>2100</v>
      </c>
      <c r="E31" s="14" t="n">
        <v>530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/>
      <c r="D32" s="14" t="inlineStr"/>
      <c r="E32" s="14" t="inlineStr"/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4">
      <c r="A34" s="20" t="inlineStr">
        <is>
          <t>NOTES (CALL OFFS, INCIDENTS, OPERATIONAL CHANGES, DETOURS)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21" t="inlineStr">
        <is>
          <t>HOURS SCHEDULED:</t>
        </is>
      </c>
      <c r="B38" s="5" t="n"/>
      <c r="C38" s="5" t="n"/>
      <c r="D38" s="5" t="n"/>
      <c r="E38" s="22" t="n">
        <v>131</v>
      </c>
      <c r="F38" s="5" t="n"/>
      <c r="G38" s="21" t="inlineStr">
        <is>
          <t>ADDITIONAL HOURS:</t>
        </is>
      </c>
      <c r="H38" s="5" t="n"/>
      <c r="I38" s="5" t="n"/>
      <c r="J38" s="5" t="n"/>
      <c r="K38" s="5" t="n"/>
      <c r="L38" s="21" t="inlineStr">
        <is>
          <t>TOTAL HOURS:</t>
        </is>
      </c>
      <c r="M38" s="5" t="n"/>
      <c r="N38" s="5" t="n"/>
      <c r="O38" s="22" t="n">
        <v>131</v>
      </c>
      <c r="P38" s="5" t="n"/>
      <c r="Q38" s="5" t="n"/>
      <c r="R38" s="5" t="n"/>
      <c r="S38" s="5" t="n"/>
      <c r="T38" s="5" t="n"/>
    </row>
    <row r="39">
      <c r="A39" s="21" t="inlineStr">
        <is>
          <t>EXPECTED HOURS</t>
        </is>
      </c>
      <c r="B39" s="5" t="n"/>
      <c r="C39" s="5" t="n"/>
      <c r="D39" s="5" t="n"/>
      <c r="E39" s="22" t="n">
        <v>305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A34:J34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4:T5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Wissar, Jacob</t>
        </is>
      </c>
      <c r="D16" s="14" t="n">
        <v>0</v>
      </c>
      <c r="E16" s="14" t="n">
        <v>830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Johnson, Kyesha</t>
        </is>
      </c>
      <c r="N16" s="14" t="n">
        <v>300</v>
      </c>
      <c r="O16" s="14" t="n">
        <v>1130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Dunlap, Calvin</t>
        </is>
      </c>
      <c r="N17" s="14" t="n">
        <v>400</v>
      </c>
      <c r="O17" s="14" t="n">
        <v>1230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Quarles, Raymond</t>
        </is>
      </c>
      <c r="D18" s="14" t="n">
        <v>100</v>
      </c>
      <c r="E18" s="14" t="n">
        <v>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Morgan, Andre</t>
        </is>
      </c>
      <c r="N18" s="14" t="n">
        <v>500</v>
      </c>
      <c r="O18" s="14" t="n">
        <v>1330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Mitchell Jr, Gary</t>
        </is>
      </c>
      <c r="D19" s="14" t="n">
        <v>100</v>
      </c>
      <c r="E19" s="14" t="n">
        <v>930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Mcgee, Briana</t>
        </is>
      </c>
      <c r="N19" s="14" t="n">
        <v>700</v>
      </c>
      <c r="O19" s="14" t="n">
        <v>1200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Keyes, Sean</t>
        </is>
      </c>
      <c r="D20" s="14" t="n">
        <v>100</v>
      </c>
      <c r="E20" s="14" t="n">
        <v>930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>
        <is>
          <t>Carter, Karen</t>
        </is>
      </c>
      <c r="N20" s="14" t="n">
        <v>900</v>
      </c>
      <c r="O20" s="14" t="n">
        <v>1730</v>
      </c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Goodwin, Andre</t>
        </is>
      </c>
      <c r="D21" s="14" t="n">
        <v>200</v>
      </c>
      <c r="E21" s="14" t="n">
        <v>830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>
        <is>
          <t>Melgar, Arturo</t>
        </is>
      </c>
      <c r="N21" s="14" t="n">
        <v>1000</v>
      </c>
      <c r="O21" s="14" t="n">
        <v>1830</v>
      </c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Gonzalez, Maria</t>
        </is>
      </c>
      <c r="D22" s="14" t="n">
        <v>200</v>
      </c>
      <c r="E22" s="14" t="n">
        <v>1030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6" t="inlineStr">
        <is>
          <t>BUS#</t>
        </is>
      </c>
      <c r="L22" s="6" t="inlineStr">
        <is>
          <t>Relief</t>
        </is>
      </c>
      <c r="M22" s="17" t="inlineStr">
        <is>
          <t>CBC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Moore, Gwendolyn</t>
        </is>
      </c>
      <c r="D23" s="14" t="n">
        <v>300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Kassa, Mekonnen</t>
        </is>
      </c>
      <c r="D24" s="14" t="n">
        <v>300</v>
      </c>
      <c r="E24" s="14" t="n">
        <v>1130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Dawson, Patty</t>
        </is>
      </c>
      <c r="D25" s="14" t="n">
        <v>300</v>
      </c>
      <c r="E25" s="14" t="n">
        <v>1030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6" t="inlineStr">
        <is>
          <t>BUS#</t>
        </is>
      </c>
      <c r="L25" s="6" t="inlineStr">
        <is>
          <t>Relief</t>
        </is>
      </c>
      <c r="M25" s="19" t="inlineStr">
        <is>
          <t>BP LOT</t>
        </is>
      </c>
      <c r="N25" s="6" t="inlineStr">
        <is>
          <t>Start Time</t>
        </is>
      </c>
      <c r="O25" s="6" t="inlineStr">
        <is>
          <t>End Time</t>
        </is>
      </c>
      <c r="P25" s="6" t="inlineStr">
        <is>
          <t>Hours</t>
        </is>
      </c>
      <c r="Q25" s="7" t="inlineStr">
        <is>
          <t>Trade Day</t>
        </is>
      </c>
      <c r="R25" s="7" t="inlineStr">
        <is>
          <t>Trade Day</t>
        </is>
      </c>
      <c r="S25" s="7" t="inlineStr">
        <is>
          <t>Overtime</t>
        </is>
      </c>
      <c r="T25" s="7" t="inlineStr">
        <is>
          <t>Trade Day</t>
        </is>
      </c>
    </row>
    <row r="26">
      <c r="A26" s="12" t="inlineStr"/>
      <c r="B26" s="12" t="inlineStr"/>
      <c r="C26" s="13" t="inlineStr">
        <is>
          <t>Osorio, Erik</t>
        </is>
      </c>
      <c r="D26" s="14" t="n">
        <v>400</v>
      </c>
      <c r="E26" s="14" t="n">
        <v>1230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Paulk, Timmie</t>
        </is>
      </c>
      <c r="N26" s="14" t="n">
        <v>200</v>
      </c>
      <c r="O26" s="14" t="n">
        <v>1030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Wilkins, Jesus</t>
        </is>
      </c>
      <c r="D27" s="14" t="n">
        <v>400</v>
      </c>
      <c r="E27" s="14" t="n">
        <v>900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Meighan, Murlin</t>
        </is>
      </c>
      <c r="N27" s="14" t="n">
        <v>500</v>
      </c>
      <c r="O27" s="14" t="n">
        <v>1330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Smith, Rhazon</t>
        </is>
      </c>
      <c r="D28" s="14" t="n">
        <v>400</v>
      </c>
      <c r="E28" s="14" t="n">
        <v>1130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Handy, Veta</t>
        </is>
      </c>
      <c r="N28" s="14" t="n">
        <v>600</v>
      </c>
      <c r="O28" s="14" t="n">
        <v>1330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Handy, Veta</t>
        </is>
      </c>
      <c r="D29" s="14" t="n">
        <v>500</v>
      </c>
      <c r="E29" s="14" t="n">
        <v>1230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>
        <is>
          <t>Sherman, Regina</t>
        </is>
      </c>
      <c r="N29" s="14" t="n">
        <v>700</v>
      </c>
      <c r="O29" s="14" t="n">
        <v>1200</v>
      </c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Denton, Phillip</t>
        </is>
      </c>
      <c r="D30" s="14" t="n">
        <v>500</v>
      </c>
      <c r="E30" s="14" t="n">
        <v>1230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>
        <is>
          <t>Marshall, Sharon</t>
        </is>
      </c>
      <c r="N30" s="14" t="n">
        <v>800</v>
      </c>
      <c r="O30" s="14" t="n">
        <v>1530</v>
      </c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Mills, Hiram</t>
        </is>
      </c>
      <c r="D31" s="14" t="n">
        <v>600</v>
      </c>
      <c r="E31" s="14" t="n">
        <v>1330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>
        <is>
          <t>Gonzalez, Christina</t>
        </is>
      </c>
      <c r="N31" s="14" t="n">
        <v>1000</v>
      </c>
      <c r="O31" s="14" t="n">
        <v>1730</v>
      </c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Velasquez, Carlos</t>
        </is>
      </c>
      <c r="D32" s="14" t="n">
        <v>700</v>
      </c>
      <c r="E32" s="14" t="n">
        <v>1530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Walker, Larry</t>
        </is>
      </c>
      <c r="D33" s="14" t="n">
        <v>800</v>
      </c>
      <c r="E33" s="14" t="n">
        <v>1430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Gunderson, Maria</t>
        </is>
      </c>
      <c r="D34" s="14" t="n">
        <v>800</v>
      </c>
      <c r="E34" s="14" t="n">
        <v>1630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Davis, Dominique</t>
        </is>
      </c>
      <c r="D35" s="14" t="n">
        <v>900</v>
      </c>
      <c r="E35" s="14" t="n">
        <v>1630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Gutierrez, Jose</t>
        </is>
      </c>
      <c r="D36" s="14" t="n">
        <v>900</v>
      </c>
      <c r="E36" s="14" t="n">
        <v>1730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Powers, Helen</t>
        </is>
      </c>
      <c r="D37" s="14" t="n">
        <v>900</v>
      </c>
      <c r="E37" s="14" t="n">
        <v>1630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Ramirez, Ruben</t>
        </is>
      </c>
      <c r="D38" s="14" t="n">
        <v>1000</v>
      </c>
      <c r="E38" s="14" t="n">
        <v>1830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Mejia, Ernesto</t>
        </is>
      </c>
      <c r="D39" s="14" t="n">
        <v>1000</v>
      </c>
      <c r="E39" s="14" t="n">
        <v>1830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6" t="inlineStr">
        <is>
          <t>BUS#</t>
        </is>
      </c>
      <c r="B40" s="6" t="inlineStr">
        <is>
          <t>Relief</t>
        </is>
      </c>
      <c r="C40" s="16" t="inlineStr">
        <is>
          <t>WEST LOT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7" t="inlineStr">
        <is>
          <t>Trade Day</t>
        </is>
      </c>
      <c r="H40" s="7" t="inlineStr">
        <is>
          <t>Trade Day</t>
        </is>
      </c>
      <c r="I40" s="7" t="inlineStr">
        <is>
          <t>Overtime</t>
        </is>
      </c>
      <c r="J40" s="7" t="inlineStr">
        <is>
          <t>Trade Day</t>
        </is>
      </c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Soto, Guadalupe</t>
        </is>
      </c>
      <c r="D41" s="14" t="n">
        <v>200</v>
      </c>
      <c r="E41" s="14" t="n">
        <v>1030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Adair Jr, Cleophus</t>
        </is>
      </c>
      <c r="D42" s="14" t="n">
        <v>700</v>
      </c>
      <c r="E42" s="14" t="n">
        <v>1430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6" t="inlineStr">
        <is>
          <t>BUS#</t>
        </is>
      </c>
      <c r="B43" s="6" t="inlineStr">
        <is>
          <t>Relief</t>
        </is>
      </c>
      <c r="C43" s="18" t="inlineStr">
        <is>
          <t>BREAKER</t>
        </is>
      </c>
      <c r="D43" s="6" t="inlineStr">
        <is>
          <t>Start Time</t>
        </is>
      </c>
      <c r="E43" s="6" t="inlineStr">
        <is>
          <t>End Time</t>
        </is>
      </c>
      <c r="F43" s="6" t="inlineStr">
        <is>
          <t>Hours</t>
        </is>
      </c>
      <c r="G43" s="7" t="inlineStr">
        <is>
          <t>Trade Day</t>
        </is>
      </c>
      <c r="H43" s="7" t="inlineStr">
        <is>
          <t>Trade Day</t>
        </is>
      </c>
      <c r="I43" s="7" t="inlineStr">
        <is>
          <t>Overtime</t>
        </is>
      </c>
      <c r="J43" s="7" t="inlineStr">
        <is>
          <t>Trade Day</t>
        </is>
      </c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Robinson, Kameelah</t>
        </is>
      </c>
      <c r="D44" s="14" t="n">
        <v>600</v>
      </c>
      <c r="E44" s="14" t="n">
        <v>1430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12" t="inlineStr"/>
      <c r="B45" s="12" t="inlineStr"/>
      <c r="C45" s="13" t="inlineStr"/>
      <c r="D45" s="14" t="inlineStr"/>
      <c r="E45" s="14" t="inlineStr"/>
      <c r="F45" s="15">
        <f>IF(AND(D45&lt;&gt;"",E45&lt;&gt;""),INT(IF(E45&lt;D45,24+(INT(E45/100)+MOD(E45,100)/60)-(INT(D45/100)+MOD(D45,100)/60),(INT(E45/100)+MOD(E45,100)/60)-(INT(D45/100)+MOD(D45,100)/60))),"")</f>
        <v/>
      </c>
      <c r="G45" s="12" t="inlineStr"/>
      <c r="H45" s="12" t="inlineStr"/>
      <c r="I45" s="12" t="inlineStr"/>
      <c r="J45" s="12" t="inlineStr"/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7">
      <c r="A47" s="20" t="inlineStr">
        <is>
          <t>NOTES (CALL OFFS, INCIDENTS, OPERATIONAL CHANGES, DETOURS)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21" t="inlineStr">
        <is>
          <t>HOURS SCHEDULED:</t>
        </is>
      </c>
      <c r="B51" s="5" t="n"/>
      <c r="C51" s="5" t="n"/>
      <c r="D51" s="5" t="n"/>
      <c r="E51" s="22" t="n">
        <v>288</v>
      </c>
      <c r="F51" s="5" t="n"/>
      <c r="G51" s="21" t="inlineStr">
        <is>
          <t>ADDITIONAL HOURS:</t>
        </is>
      </c>
      <c r="H51" s="5" t="n"/>
      <c r="I51" s="5" t="n"/>
      <c r="J51" s="5" t="n"/>
      <c r="K51" s="5" t="n"/>
      <c r="L51" s="21" t="inlineStr">
        <is>
          <t>TOTAL HOURS:</t>
        </is>
      </c>
      <c r="M51" s="5" t="n"/>
      <c r="N51" s="5" t="n"/>
      <c r="O51" s="22" t="n">
        <v>288</v>
      </c>
      <c r="P51" s="5" t="n"/>
      <c r="Q51" s="5" t="n"/>
      <c r="R51" s="5" t="n"/>
      <c r="S51" s="5" t="n"/>
      <c r="T51" s="5" t="n"/>
    </row>
    <row r="52">
      <c r="A52" s="21" t="inlineStr">
        <is>
          <t>EXPECTED HOURS</t>
        </is>
      </c>
      <c r="B52" s="5" t="n"/>
      <c r="C52" s="5" t="n"/>
      <c r="D52" s="5" t="n"/>
      <c r="E52" s="22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16">
    <mergeCell ref="A5:T5"/>
    <mergeCell ref="A47:J47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4:T42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Saenz, Noel</t>
        </is>
      </c>
      <c r="D16" s="14" t="n">
        <v>1100</v>
      </c>
      <c r="E16" s="14" t="n">
        <v>1930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1200</v>
      </c>
      <c r="O16" s="14" t="n">
        <v>1930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Rodriguez Cordero Jr, Enrique</t>
        </is>
      </c>
      <c r="D17" s="14" t="n">
        <v>1100</v>
      </c>
      <c r="E17" s="14" t="n">
        <v>1930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Lee, Jaron</t>
        </is>
      </c>
      <c r="N17" s="14" t="n">
        <v>1600</v>
      </c>
      <c r="O17" s="14" t="n">
        <v>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Pollard, Raymone</t>
        </is>
      </c>
      <c r="D18" s="14" t="n">
        <v>1200</v>
      </c>
      <c r="E18" s="14" t="n">
        <v>2030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Davis, Kenneth</t>
        </is>
      </c>
      <c r="N18" s="14" t="n">
        <v>1700</v>
      </c>
      <c r="O18" s="14" t="n">
        <v>2200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Harris, Clarence</t>
        </is>
      </c>
      <c r="D19" s="14" t="n">
        <v>1200</v>
      </c>
      <c r="E19" s="14" t="n">
        <v>2030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Bland, Kim</t>
        </is>
      </c>
      <c r="N19" s="14" t="n">
        <v>1800</v>
      </c>
      <c r="O19" s="14" t="n">
        <v>130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Lopez, Daniel</t>
        </is>
      </c>
      <c r="D20" s="14" t="n">
        <v>1300</v>
      </c>
      <c r="E20" s="14" t="n">
        <v>2130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Velasquez, Elizabeth</t>
        </is>
      </c>
      <c r="D21" s="14" t="n">
        <v>1300</v>
      </c>
      <c r="E21" s="14" t="n">
        <v>2130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Blaylock, Jumah</t>
        </is>
      </c>
      <c r="D22" s="14" t="n">
        <v>1400</v>
      </c>
      <c r="E22" s="14" t="n">
        <v>2230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1400</v>
      </c>
      <c r="E23" s="14" t="n">
        <v>2230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Kieng, Jeffrey</t>
        </is>
      </c>
      <c r="D24" s="14" t="n">
        <v>1600</v>
      </c>
      <c r="E24" s="14" t="n">
        <v>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Dieguez, Cristobal</t>
        </is>
      </c>
      <c r="N24" s="14" t="n">
        <v>1100</v>
      </c>
      <c r="O24" s="14" t="n">
        <v>1930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Navarro, Jesus</t>
        </is>
      </c>
      <c r="D25" s="14" t="n">
        <v>1600</v>
      </c>
      <c r="E25" s="14" t="n">
        <v>2330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Avery, Tracey</t>
        </is>
      </c>
      <c r="N25" s="14" t="n">
        <v>1100</v>
      </c>
      <c r="O25" s="14" t="n">
        <v>1600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Monroy Romero, Marta</t>
        </is>
      </c>
      <c r="D26" s="14" t="n">
        <v>1700</v>
      </c>
      <c r="E26" s="14" t="n">
        <v>130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Theus, Tieran</t>
        </is>
      </c>
      <c r="N26" s="14" t="n">
        <v>1300</v>
      </c>
      <c r="O26" s="14" t="n">
        <v>2030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Thomas, Devin</t>
        </is>
      </c>
      <c r="D27" s="14" t="n">
        <v>1800</v>
      </c>
      <c r="E27" s="14" t="n">
        <v>230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Freeman, Glenn</t>
        </is>
      </c>
      <c r="D28" s="14" t="n">
        <v>1800</v>
      </c>
      <c r="E28" s="14" t="n">
        <v>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Franco, Juan</t>
        </is>
      </c>
      <c r="D30" s="14" t="n">
        <v>1200</v>
      </c>
      <c r="E30" s="14" t="n">
        <v>2030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Bates, Aaron</t>
        </is>
      </c>
      <c r="D31" s="14" t="n">
        <v>1500</v>
      </c>
      <c r="E31" s="14" t="n">
        <v>2230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Shaffer, Tanesha</t>
        </is>
      </c>
      <c r="D32" s="14" t="n">
        <v>1700</v>
      </c>
      <c r="E32" s="14" t="n">
        <v>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6" t="inlineStr">
        <is>
          <t>BUS#</t>
        </is>
      </c>
      <c r="B33" s="6" t="inlineStr">
        <is>
          <t>Relief</t>
        </is>
      </c>
      <c r="C33" s="18" t="inlineStr">
        <is>
          <t>BREAKER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7" t="inlineStr">
        <is>
          <t>Trade Day</t>
        </is>
      </c>
      <c r="H33" s="7" t="inlineStr">
        <is>
          <t>Trade Day</t>
        </is>
      </c>
      <c r="I33" s="7" t="inlineStr">
        <is>
          <t>Overtime</t>
        </is>
      </c>
      <c r="J33" s="7" t="inlineStr">
        <is>
          <t>Trade Day</t>
        </is>
      </c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Fuller, Kameisha</t>
        </is>
      </c>
      <c r="D34" s="14" t="n">
        <v>1400</v>
      </c>
      <c r="E34" s="14" t="n">
        <v>2030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/>
      <c r="D35" s="14" t="inlineStr"/>
      <c r="E35" s="14" t="inlineStr"/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7">
      <c r="A37" s="20" t="inlineStr">
        <is>
          <t>NOTES (CALL OFFS, INCIDENTS, OPERATIONAL CHANGES, DETOURS)</t>
        </is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21" t="inlineStr">
        <is>
          <t>HOURS SCHEDULED:</t>
        </is>
      </c>
      <c r="B41" s="5" t="n"/>
      <c r="C41" s="5" t="n"/>
      <c r="D41" s="5" t="n"/>
      <c r="E41" s="22" t="n">
        <v>176</v>
      </c>
      <c r="F41" s="5" t="n"/>
      <c r="G41" s="21" t="inlineStr">
        <is>
          <t>ADDITIONAL HOURS:</t>
        </is>
      </c>
      <c r="H41" s="5" t="n"/>
      <c r="I41" s="5" t="n"/>
      <c r="J41" s="5" t="n"/>
      <c r="K41" s="5" t="n"/>
      <c r="L41" s="21" t="inlineStr">
        <is>
          <t>TOTAL HOURS:</t>
        </is>
      </c>
      <c r="M41" s="5" t="n"/>
      <c r="N41" s="5" t="n"/>
      <c r="O41" s="22" t="n">
        <v>176</v>
      </c>
      <c r="P41" s="5" t="n"/>
      <c r="Q41" s="5" t="n"/>
      <c r="R41" s="5" t="n"/>
      <c r="S41" s="5" t="n"/>
      <c r="T41" s="5" t="n"/>
    </row>
    <row r="42">
      <c r="A42" s="21" t="inlineStr">
        <is>
          <t>EXPECTED HOURS</t>
        </is>
      </c>
      <c r="B42" s="5" t="n"/>
      <c r="C42" s="5" t="n"/>
      <c r="D42" s="5" t="n"/>
      <c r="E42" s="22" t="n">
        <v>305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6">
    <mergeCell ref="A5:T5"/>
    <mergeCell ref="K9:T9"/>
    <mergeCell ref="K12:O12"/>
    <mergeCell ref="P12:T12"/>
    <mergeCell ref="A6:T6"/>
    <mergeCell ref="A37:J37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Thursday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2000</v>
      </c>
      <c r="O16" s="14" t="n">
        <v>430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Brown, Petrena</t>
        </is>
      </c>
      <c r="D17" s="14" t="n">
        <v>1900</v>
      </c>
      <c r="E17" s="14" t="n">
        <v>330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Heard, Wynetta</t>
        </is>
      </c>
      <c r="N17" s="14" t="n">
        <v>2300</v>
      </c>
      <c r="O17" s="14" t="n">
        <v>730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Todman, Shamon</t>
        </is>
      </c>
      <c r="D18" s="14" t="n">
        <v>2000</v>
      </c>
      <c r="E18" s="14" t="n">
        <v>430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Smith, Jimmie</t>
        </is>
      </c>
      <c r="N18" s="14" t="n">
        <v>2300</v>
      </c>
      <c r="O18" s="14" t="n">
        <v>730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Gales, Dianna</t>
        </is>
      </c>
      <c r="D19" s="14" t="n">
        <v>2100</v>
      </c>
      <c r="E19" s="14" t="n">
        <v>530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6" t="inlineStr">
        <is>
          <t>BUS#</t>
        </is>
      </c>
      <c r="L19" s="6" t="inlineStr">
        <is>
          <t>Relief</t>
        </is>
      </c>
      <c r="M19" s="17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7" t="inlineStr">
        <is>
          <t>Trade Day</t>
        </is>
      </c>
      <c r="R19" s="7" t="inlineStr">
        <is>
          <t>Trade Day</t>
        </is>
      </c>
      <c r="S19" s="7" t="inlineStr">
        <is>
          <t>Overtime</t>
        </is>
      </c>
      <c r="T19" s="7" t="inlineStr">
        <is>
          <t>Trade Day</t>
        </is>
      </c>
    </row>
    <row r="20">
      <c r="A20" s="12" t="inlineStr"/>
      <c r="B20" s="12" t="inlineStr"/>
      <c r="C20" s="13" t="inlineStr">
        <is>
          <t>Barbee, Maidest</t>
        </is>
      </c>
      <c r="D20" s="14" t="n">
        <v>2100</v>
      </c>
      <c r="E20" s="14" t="n">
        <v>530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Fowler, Keisha</t>
        </is>
      </c>
      <c r="D21" s="14" t="n">
        <v>2200</v>
      </c>
      <c r="E21" s="14" t="n">
        <v>630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7" t="inlineStr">
        <is>
          <t>Trade Day</t>
        </is>
      </c>
      <c r="H22" s="7" t="inlineStr">
        <is>
          <t>Trade Day</t>
        </is>
      </c>
      <c r="I22" s="7" t="inlineStr">
        <is>
          <t>Overtime</t>
        </is>
      </c>
      <c r="J22" s="7" t="inlineStr">
        <is>
          <t>Trade Day</t>
        </is>
      </c>
      <c r="K22" s="6" t="inlineStr">
        <is>
          <t>BUS#</t>
        </is>
      </c>
      <c r="L22" s="6" t="inlineStr">
        <is>
          <t>Relief</t>
        </is>
      </c>
      <c r="M22" s="19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7" t="inlineStr">
        <is>
          <t>Trade Day</t>
        </is>
      </c>
      <c r="R22" s="7" t="inlineStr">
        <is>
          <t>Trade Day</t>
        </is>
      </c>
      <c r="S22" s="7" t="inlineStr">
        <is>
          <t>Overtime</t>
        </is>
      </c>
      <c r="T22" s="7" t="inlineStr">
        <is>
          <t>Trade Day</t>
        </is>
      </c>
    </row>
    <row r="23">
      <c r="A23" s="12" t="inlineStr"/>
      <c r="B23" s="12" t="inlineStr"/>
      <c r="C23" s="13" t="inlineStr">
        <is>
          <t>Halk, Carmella</t>
        </is>
      </c>
      <c r="D23" s="14" t="n">
        <v>1900</v>
      </c>
      <c r="E23" s="14" t="n">
        <v>230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Grantham, Bryan</t>
        </is>
      </c>
      <c r="N23" s="14" t="n">
        <v>2100</v>
      </c>
      <c r="O23" s="14" t="n">
        <v>530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Membreno, Irma</t>
        </is>
      </c>
      <c r="D24" s="14" t="n">
        <v>2000</v>
      </c>
      <c r="E24" s="14" t="n">
        <v>330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Morales, Brandon</t>
        </is>
      </c>
      <c r="D25" s="14" t="n">
        <v>2200</v>
      </c>
      <c r="E25" s="14" t="n">
        <v>200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Beamon, Letrice</t>
        </is>
      </c>
      <c r="D26" s="14" t="n">
        <v>2200</v>
      </c>
      <c r="E26" s="14" t="n">
        <v>200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Bowie, Triston</t>
        </is>
      </c>
      <c r="D27" s="14" t="n">
        <v>2300</v>
      </c>
      <c r="E27" s="14" t="n">
        <v>730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Davis, Tonya</t>
        </is>
      </c>
      <c r="D29" s="14" t="n">
        <v>2000</v>
      </c>
      <c r="E29" s="14" t="n">
        <v>330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Wright, Steven</t>
        </is>
      </c>
      <c r="D30" s="14" t="n">
        <v>2100</v>
      </c>
      <c r="E30" s="14" t="n">
        <v>530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2">
      <c r="A32" s="20" t="inlineStr">
        <is>
          <t>NOTES (CALL OFFS, INCIDENTS, OPERATIONAL CHANGES, DETOURS)</t>
        </is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125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125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K12:O12"/>
    <mergeCell ref="P12:T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4:T51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Reynolds, Thomas</t>
        </is>
      </c>
      <c r="D16" s="14" t="n">
        <v>0</v>
      </c>
      <c r="E16" s="14" t="n">
        <v>830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Melgar, Arturo</t>
        </is>
      </c>
      <c r="N16" s="14" t="n">
        <v>900</v>
      </c>
      <c r="O16" s="14" t="n">
        <v>1730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Wissar, Jacob</t>
        </is>
      </c>
      <c r="D17" s="14" t="n">
        <v>100</v>
      </c>
      <c r="E17" s="14" t="n">
        <v>930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Goodwin, Andre</t>
        </is>
      </c>
      <c r="D18" s="14" t="n">
        <v>200</v>
      </c>
      <c r="E18" s="14" t="n">
        <v>1030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Soto, Guadalupe</t>
        </is>
      </c>
      <c r="D19" s="14" t="n">
        <v>200</v>
      </c>
      <c r="E19" s="14" t="n">
        <v>1030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Burton, Brandon</t>
        </is>
      </c>
      <c r="D20" s="14" t="n">
        <v>200</v>
      </c>
      <c r="E20" s="14" t="n">
        <v>1030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Moore, Gwendolyn</t>
        </is>
      </c>
      <c r="D21" s="14" t="n">
        <v>300</v>
      </c>
      <c r="E21" s="14" t="n">
        <v>1130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Dawson, Patty</t>
        </is>
      </c>
      <c r="D22" s="14" t="n">
        <v>300</v>
      </c>
      <c r="E22" s="14" t="n">
        <v>1030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Basham, Mackolia</t>
        </is>
      </c>
      <c r="N22" s="14" t="n">
        <v>100</v>
      </c>
      <c r="O22" s="14" t="n">
        <v>930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Aaron, Jonathan</t>
        </is>
      </c>
      <c r="D23" s="14" t="n">
        <v>400</v>
      </c>
      <c r="E23" s="14" t="n">
        <v>1230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Paulk, Timmie</t>
        </is>
      </c>
      <c r="N23" s="14" t="n">
        <v>200</v>
      </c>
      <c r="O23" s="14" t="n">
        <v>1030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Handy, Veta</t>
        </is>
      </c>
      <c r="D24" s="14" t="n">
        <v>500</v>
      </c>
      <c r="E24" s="14" t="n">
        <v>1230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Smith, Rhazon</t>
        </is>
      </c>
      <c r="N24" s="14" t="n">
        <v>400</v>
      </c>
      <c r="O24" s="14" t="n">
        <v>1130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Denton, Phillip</t>
        </is>
      </c>
      <c r="D25" s="14" t="n">
        <v>500</v>
      </c>
      <c r="E25" s="14" t="n">
        <v>1230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Morgan, Andre</t>
        </is>
      </c>
      <c r="N25" s="14" t="n">
        <v>500</v>
      </c>
      <c r="O25" s="14" t="n">
        <v>1330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Meighan, Murlin</t>
        </is>
      </c>
      <c r="D26" s="14" t="n">
        <v>500</v>
      </c>
      <c r="E26" s="14" t="n">
        <v>1330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Marshall, Sharon</t>
        </is>
      </c>
      <c r="N26" s="14" t="n">
        <v>800</v>
      </c>
      <c r="O26" s="14" t="n">
        <v>1530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Mills, Hiram</t>
        </is>
      </c>
      <c r="D27" s="14" t="n">
        <v>600</v>
      </c>
      <c r="E27" s="14" t="n">
        <v>1230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Powers, Helen</t>
        </is>
      </c>
      <c r="N27" s="14" t="n">
        <v>900</v>
      </c>
      <c r="O27" s="14" t="n">
        <v>1630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Handy, Veta</t>
        </is>
      </c>
      <c r="D28" s="14" t="n">
        <v>600</v>
      </c>
      <c r="E28" s="14" t="n">
        <v>1230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>
        <is>
          <t>Gonzalez, Christina</t>
        </is>
      </c>
      <c r="N28" s="14" t="n">
        <v>1000</v>
      </c>
      <c r="O28" s="14" t="n">
        <v>1730</v>
      </c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Ramos, Saul</t>
        </is>
      </c>
      <c r="D29" s="14" t="n">
        <v>700</v>
      </c>
      <c r="E29" s="14" t="n">
        <v>1530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Sherman, Regina</t>
        </is>
      </c>
      <c r="D30" s="14" t="n">
        <v>700</v>
      </c>
      <c r="E30" s="14" t="n">
        <v>1200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Walker, Larry</t>
        </is>
      </c>
      <c r="D31" s="14" t="n">
        <v>800</v>
      </c>
      <c r="E31" s="14" t="n">
        <v>1430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Gunderson, Maria</t>
        </is>
      </c>
      <c r="D32" s="14" t="n">
        <v>800</v>
      </c>
      <c r="E32" s="14" t="n">
        <v>1630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Davis, Dominique</t>
        </is>
      </c>
      <c r="D33" s="14" t="n">
        <v>900</v>
      </c>
      <c r="E33" s="14" t="n">
        <v>1630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Ramirez, Ruben</t>
        </is>
      </c>
      <c r="D34" s="14" t="n">
        <v>1000</v>
      </c>
      <c r="E34" s="14" t="n">
        <v>1830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6" t="inlineStr">
        <is>
          <t>BUS#</t>
        </is>
      </c>
      <c r="B35" s="6" t="inlineStr">
        <is>
          <t>Relief</t>
        </is>
      </c>
      <c r="C35" s="16" t="inlineStr">
        <is>
          <t>WEST LOT</t>
        </is>
      </c>
      <c r="D35" s="6" t="inlineStr">
        <is>
          <t>Start Time</t>
        </is>
      </c>
      <c r="E35" s="6" t="inlineStr">
        <is>
          <t>End Time</t>
        </is>
      </c>
      <c r="F35" s="6" t="inlineStr">
        <is>
          <t>Hours</t>
        </is>
      </c>
      <c r="G35" s="7" t="inlineStr">
        <is>
          <t>Trade Day</t>
        </is>
      </c>
      <c r="H35" s="7" t="inlineStr">
        <is>
          <t>Trade Day</t>
        </is>
      </c>
      <c r="I35" s="7" t="inlineStr">
        <is>
          <t>Overtime</t>
        </is>
      </c>
      <c r="J35" s="7" t="inlineStr">
        <is>
          <t>Trade Day</t>
        </is>
      </c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Farries, Natasha</t>
        </is>
      </c>
      <c r="D36" s="14" t="n">
        <v>300</v>
      </c>
      <c r="E36" s="14" t="n">
        <v>1130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Gonzalez, Maria</t>
        </is>
      </c>
      <c r="D37" s="14" t="n">
        <v>300</v>
      </c>
      <c r="E37" s="14" t="n">
        <v>1130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Adair Jr, Cleophus</t>
        </is>
      </c>
      <c r="D38" s="14" t="n">
        <v>700</v>
      </c>
      <c r="E38" s="14" t="n">
        <v>1330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>
        <is>
          <t>Winters, Dominique</t>
        </is>
      </c>
      <c r="D39" s="14" t="n">
        <v>700</v>
      </c>
      <c r="E39" s="14" t="n">
        <v>1430</v>
      </c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12" t="inlineStr"/>
      <c r="B40" s="12" t="inlineStr"/>
      <c r="C40" s="13" t="inlineStr">
        <is>
          <t>Mejia, Ernesto</t>
        </is>
      </c>
      <c r="D40" s="14" t="n">
        <v>1000</v>
      </c>
      <c r="E40" s="14" t="n">
        <v>1830</v>
      </c>
      <c r="F40" s="15">
        <f>IF(AND(D40&lt;&gt;"",E40&lt;&gt;""),INT(IF(E40&lt;D40,24+(INT(E40/100)+MOD(E40,100)/60)-(INT(D40/100)+MOD(D40,100)/60),(INT(E40/100)+MOD(E40,100)/60)-(INT(D40/100)+MOD(D40,100)/60))),"")</f>
        <v/>
      </c>
      <c r="G40" s="12" t="inlineStr"/>
      <c r="H40" s="12" t="inlineStr"/>
      <c r="I40" s="12" t="inlineStr"/>
      <c r="J40" s="12" t="inlineStr"/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Jones, Andre</t>
        </is>
      </c>
      <c r="D41" s="14" t="n">
        <v>1000</v>
      </c>
      <c r="E41" s="14" t="n">
        <v>1830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6" t="inlineStr">
        <is>
          <t>BUS#</t>
        </is>
      </c>
      <c r="B42" s="6" t="inlineStr">
        <is>
          <t>Relief</t>
        </is>
      </c>
      <c r="C42" s="18" t="inlineStr">
        <is>
          <t>BREAKER</t>
        </is>
      </c>
      <c r="D42" s="6" t="inlineStr">
        <is>
          <t>Start Time</t>
        </is>
      </c>
      <c r="E42" s="6" t="inlineStr">
        <is>
          <t>End Time</t>
        </is>
      </c>
      <c r="F42" s="6" t="inlineStr">
        <is>
          <t>Hours</t>
        </is>
      </c>
      <c r="G42" s="7" t="inlineStr">
        <is>
          <t>Trade Day</t>
        </is>
      </c>
      <c r="H42" s="7" t="inlineStr">
        <is>
          <t>Trade Day</t>
        </is>
      </c>
      <c r="I42" s="7" t="inlineStr">
        <is>
          <t>Overtime</t>
        </is>
      </c>
      <c r="J42" s="7" t="inlineStr">
        <is>
          <t>Trade Day</t>
        </is>
      </c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>
        <is>
          <t>Bush, Shayland</t>
        </is>
      </c>
      <c r="D43" s="14" t="n">
        <v>0</v>
      </c>
      <c r="E43" s="14" t="n">
        <v>830</v>
      </c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12" t="inlineStr"/>
      <c r="B44" s="12" t="inlineStr"/>
      <c r="C44" s="13" t="inlineStr">
        <is>
          <t>Robinson, Kameelah</t>
        </is>
      </c>
      <c r="D44" s="14" t="n">
        <v>600</v>
      </c>
      <c r="E44" s="14" t="n">
        <v>1430</v>
      </c>
      <c r="F44" s="15">
        <f>IF(AND(D44&lt;&gt;"",E44&lt;&gt;""),INT(IF(E44&lt;D44,24+(INT(E44/100)+MOD(E44,100)/60)-(INT(D44/100)+MOD(D44,100)/60),(INT(E44/100)+MOD(E44,100)/60)-(INT(D44/100)+MOD(D44,100)/60))),"")</f>
        <v/>
      </c>
      <c r="G44" s="12" t="inlineStr"/>
      <c r="H44" s="12" t="inlineStr"/>
      <c r="I44" s="12" t="inlineStr"/>
      <c r="J44" s="12" t="inlineStr"/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6">
      <c r="A46" s="20" t="inlineStr">
        <is>
          <t>NOTES (CALL OFFS, INCIDENTS, OPERATIONAL CHANGES, DETOURS)</t>
        </is>
      </c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21" t="inlineStr">
        <is>
          <t>HOURS SCHEDULED:</t>
        </is>
      </c>
      <c r="B50" s="5" t="n"/>
      <c r="C50" s="5" t="n"/>
      <c r="D50" s="5" t="n"/>
      <c r="E50" s="22" t="n">
        <v>260</v>
      </c>
      <c r="F50" s="5" t="n"/>
      <c r="G50" s="21" t="inlineStr">
        <is>
          <t>ADDITIONAL HOURS:</t>
        </is>
      </c>
      <c r="H50" s="5" t="n"/>
      <c r="I50" s="5" t="n"/>
      <c r="J50" s="5" t="n"/>
      <c r="K50" s="5" t="n"/>
      <c r="L50" s="21" t="inlineStr">
        <is>
          <t>TOTAL HOURS:</t>
        </is>
      </c>
      <c r="M50" s="5" t="n"/>
      <c r="N50" s="5" t="n"/>
      <c r="O50" s="22" t="n">
        <v>260</v>
      </c>
      <c r="P50" s="5" t="n"/>
      <c r="Q50" s="5" t="n"/>
      <c r="R50" s="5" t="n"/>
      <c r="S50" s="5" t="n"/>
      <c r="T50" s="5" t="n"/>
    </row>
    <row r="51">
      <c r="A51" s="21" t="inlineStr">
        <is>
          <t>EXPECTED HOURS</t>
        </is>
      </c>
      <c r="B51" s="5" t="n"/>
      <c r="C51" s="5" t="n"/>
      <c r="D51" s="5" t="n"/>
      <c r="E51" s="22" t="n">
        <v>305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</sheetData>
  <mergeCells count="16">
    <mergeCell ref="A5:T5"/>
    <mergeCell ref="K9:T9"/>
    <mergeCell ref="K12:O12"/>
    <mergeCell ref="P12:T12"/>
    <mergeCell ref="A6:T6"/>
    <mergeCell ref="A46:J4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4:T45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1100</v>
      </c>
      <c r="E16" s="14" t="n">
        <v>1730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Gebremichael, Mulugeta</t>
        </is>
      </c>
      <c r="N16" s="14" t="n">
        <v>1200</v>
      </c>
      <c r="O16" s="14" t="n">
        <v>1930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Rodriguez Cordero Jr, Enrique</t>
        </is>
      </c>
      <c r="D17" s="14" t="n">
        <v>1100</v>
      </c>
      <c r="E17" s="14" t="n">
        <v>1930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Dixon, Shane</t>
        </is>
      </c>
      <c r="N17" s="14" t="n">
        <v>1400</v>
      </c>
      <c r="O17" s="14" t="n">
        <v>2230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Harris, Clarence</t>
        </is>
      </c>
      <c r="D18" s="14" t="n">
        <v>1100</v>
      </c>
      <c r="E18" s="14" t="n">
        <v>1930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Le, Don</t>
        </is>
      </c>
      <c r="D19" s="14" t="n">
        <v>1200</v>
      </c>
      <c r="E19" s="14" t="n">
        <v>2030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Franco, Juan</t>
        </is>
      </c>
      <c r="D20" s="14" t="n">
        <v>1200</v>
      </c>
      <c r="E20" s="14" t="n">
        <v>2030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Lopez, Daniel</t>
        </is>
      </c>
      <c r="D21" s="14" t="n">
        <v>1300</v>
      </c>
      <c r="E21" s="14" t="n">
        <v>2130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Orrego, Tito</t>
        </is>
      </c>
      <c r="D22" s="14" t="n">
        <v>1400</v>
      </c>
      <c r="E22" s="14" t="n">
        <v>2230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Avery, Tracey</t>
        </is>
      </c>
      <c r="N22" s="14" t="n">
        <v>1100</v>
      </c>
      <c r="O22" s="14" t="n">
        <v>1600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De Haro, Carlos</t>
        </is>
      </c>
      <c r="D23" s="14" t="n">
        <v>1500</v>
      </c>
      <c r="E23" s="14" t="n">
        <v>2330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Tejeda, Jose</t>
        </is>
      </c>
      <c r="N23" s="14" t="n">
        <v>1300</v>
      </c>
      <c r="O23" s="14" t="n">
        <v>2130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Kieng, Jeffrey</t>
        </is>
      </c>
      <c r="D24" s="14" t="n">
        <v>1600</v>
      </c>
      <c r="E24" s="14" t="n">
        <v>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Lee, Shenwu</t>
        </is>
      </c>
      <c r="N24" s="14" t="n">
        <v>1400</v>
      </c>
      <c r="O24" s="14" t="n">
        <v>2230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Navarro, Jesus</t>
        </is>
      </c>
      <c r="D25" s="14" t="n">
        <v>1600</v>
      </c>
      <c r="E25" s="14" t="n">
        <v>2330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Lee, Jaron</t>
        </is>
      </c>
      <c r="D26" s="14" t="n">
        <v>1600</v>
      </c>
      <c r="E26" s="14" t="n">
        <v>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Monroy Romero, Marta</t>
        </is>
      </c>
      <c r="D27" s="14" t="n">
        <v>1700</v>
      </c>
      <c r="E27" s="14" t="n">
        <v>130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Shaffer, Tanesha</t>
        </is>
      </c>
      <c r="D28" s="14" t="n">
        <v>1700</v>
      </c>
      <c r="E28" s="14" t="n">
        <v>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Davis, Kenneth</t>
        </is>
      </c>
      <c r="D29" s="14" t="n">
        <v>1700</v>
      </c>
      <c r="E29" s="14" t="n">
        <v>2200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Thomas, Devin</t>
        </is>
      </c>
      <c r="D30" s="14" t="n">
        <v>1800</v>
      </c>
      <c r="E30" s="14" t="n">
        <v>230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Freeman, Glenn</t>
        </is>
      </c>
      <c r="D31" s="14" t="n">
        <v>1800</v>
      </c>
      <c r="E31" s="14" t="n">
        <v>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Bland, Kim</t>
        </is>
      </c>
      <c r="D32" s="14" t="n">
        <v>1800</v>
      </c>
      <c r="E32" s="14" t="n">
        <v>130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6" t="inlineStr">
        <is>
          <t>BUS#</t>
        </is>
      </c>
      <c r="B33" s="6" t="inlineStr">
        <is>
          <t>Relief</t>
        </is>
      </c>
      <c r="C33" s="16" t="inlineStr">
        <is>
          <t>WEST LOT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7" t="inlineStr">
        <is>
          <t>Trade Day</t>
        </is>
      </c>
      <c r="H33" s="7" t="inlineStr">
        <is>
          <t>Trade Day</t>
        </is>
      </c>
      <c r="I33" s="7" t="inlineStr">
        <is>
          <t>Overtime</t>
        </is>
      </c>
      <c r="J33" s="7" t="inlineStr">
        <is>
          <t>Trade Day</t>
        </is>
      </c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Velasquez, Elizabeth</t>
        </is>
      </c>
      <c r="D34" s="14" t="n">
        <v>1300</v>
      </c>
      <c r="E34" s="14" t="n">
        <v>2130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Jacques, Maria</t>
        </is>
      </c>
      <c r="D35" s="14" t="n">
        <v>1500</v>
      </c>
      <c r="E35" s="14" t="n">
        <v>2330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6" t="inlineStr">
        <is>
          <t>BUS#</t>
        </is>
      </c>
      <c r="B36" s="6" t="inlineStr">
        <is>
          <t>Relief</t>
        </is>
      </c>
      <c r="C36" s="18" t="inlineStr">
        <is>
          <t>BREAKER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7" t="inlineStr">
        <is>
          <t>Trade Day</t>
        </is>
      </c>
      <c r="H36" s="7" t="inlineStr">
        <is>
          <t>Trade Day</t>
        </is>
      </c>
      <c r="I36" s="7" t="inlineStr">
        <is>
          <t>Overtime</t>
        </is>
      </c>
      <c r="J36" s="7" t="inlineStr">
        <is>
          <t>Trade Day</t>
        </is>
      </c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Fuller, Kameisha</t>
        </is>
      </c>
      <c r="D37" s="14" t="n">
        <v>1400</v>
      </c>
      <c r="E37" s="14" t="n">
        <v>2030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40">
      <c r="A40" s="20" t="inlineStr">
        <is>
          <t>NOTES (CALL OFFS, INCIDENTS, OPERATIONAL CHANGES, DETOURS)</t>
        </is>
      </c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21" t="inlineStr">
        <is>
          <t>HOURS SCHEDULED:</t>
        </is>
      </c>
      <c r="B44" s="5" t="n"/>
      <c r="C44" s="5" t="n"/>
      <c r="D44" s="5" t="n"/>
      <c r="E44" s="22" t="n">
        <v>184</v>
      </c>
      <c r="F44" s="5" t="n"/>
      <c r="G44" s="21" t="inlineStr">
        <is>
          <t>ADDITIONAL HOURS:</t>
        </is>
      </c>
      <c r="H44" s="5" t="n"/>
      <c r="I44" s="5" t="n"/>
      <c r="J44" s="5" t="n"/>
      <c r="K44" s="5" t="n"/>
      <c r="L44" s="21" t="inlineStr">
        <is>
          <t>TOTAL HOURS:</t>
        </is>
      </c>
      <c r="M44" s="5" t="n"/>
      <c r="N44" s="5" t="n"/>
      <c r="O44" s="22" t="n">
        <v>184</v>
      </c>
      <c r="P44" s="5" t="n"/>
      <c r="Q44" s="5" t="n"/>
      <c r="R44" s="5" t="n"/>
      <c r="S44" s="5" t="n"/>
      <c r="T44" s="5" t="n"/>
    </row>
    <row r="45">
      <c r="A45" s="21" t="inlineStr">
        <is>
          <t>EXPECTED HOURS</t>
        </is>
      </c>
      <c r="B45" s="5" t="n"/>
      <c r="C45" s="5" t="n"/>
      <c r="D45" s="5" t="n"/>
      <c r="E45" s="22" t="n">
        <v>305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A40:J40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4:T3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Friday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Rodriguez, Rodrigo</t>
        </is>
      </c>
      <c r="N16" s="14" t="n">
        <v>2000</v>
      </c>
      <c r="O16" s="14" t="n">
        <v>430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Brown, Petrena</t>
        </is>
      </c>
      <c r="D17" s="14" t="n">
        <v>1900</v>
      </c>
      <c r="E17" s="14" t="n">
        <v>330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Smith, Jimmie</t>
        </is>
      </c>
      <c r="N17" s="14" t="n">
        <v>2300</v>
      </c>
      <c r="O17" s="14" t="n">
        <v>730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Todman, Shamon</t>
        </is>
      </c>
      <c r="D18" s="14" t="n">
        <v>2000</v>
      </c>
      <c r="E18" s="14" t="n">
        <v>430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Gales, Dianna</t>
        </is>
      </c>
      <c r="D19" s="14" t="n">
        <v>2100</v>
      </c>
      <c r="E19" s="14" t="n">
        <v>230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Barbee, Maidest</t>
        </is>
      </c>
      <c r="D20" s="14" t="n">
        <v>2100</v>
      </c>
      <c r="E20" s="14" t="n">
        <v>530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Beamon, Letrice</t>
        </is>
      </c>
      <c r="D21" s="14" t="n">
        <v>2200</v>
      </c>
      <c r="E21" s="14" t="n">
        <v>200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Williams, Lee</t>
        </is>
      </c>
      <c r="D22" s="14" t="n">
        <v>2200</v>
      </c>
      <c r="E22" s="14" t="n">
        <v>630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Grantham, Bryan</t>
        </is>
      </c>
      <c r="N22" s="14" t="n">
        <v>2100</v>
      </c>
      <c r="O22" s="14" t="n">
        <v>530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Heard, Wynetta</t>
        </is>
      </c>
      <c r="D23" s="14" t="n">
        <v>2300</v>
      </c>
      <c r="E23" s="14" t="n">
        <v>730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Morales, Brandon</t>
        </is>
      </c>
      <c r="N23" s="14" t="n">
        <v>2200</v>
      </c>
      <c r="O23" s="14" t="n">
        <v>530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6" t="inlineStr">
        <is>
          <t>BUS#</t>
        </is>
      </c>
      <c r="B24" s="6" t="inlineStr">
        <is>
          <t>Relief</t>
        </is>
      </c>
      <c r="C24" s="16" t="inlineStr">
        <is>
          <t>WEST LOT</t>
        </is>
      </c>
      <c r="D24" s="6" t="inlineStr">
        <is>
          <t>Start Time</t>
        </is>
      </c>
      <c r="E24" s="6" t="inlineStr">
        <is>
          <t>End Time</t>
        </is>
      </c>
      <c r="F24" s="6" t="inlineStr">
        <is>
          <t>Hours</t>
        </is>
      </c>
      <c r="G24" s="7" t="inlineStr">
        <is>
          <t>Trade Day</t>
        </is>
      </c>
      <c r="H24" s="7" t="inlineStr">
        <is>
          <t>Trade Day</t>
        </is>
      </c>
      <c r="I24" s="7" t="inlineStr">
        <is>
          <t>Overtime</t>
        </is>
      </c>
      <c r="J24" s="7" t="inlineStr">
        <is>
          <t>Trade Day</t>
        </is>
      </c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Membreno, Irma</t>
        </is>
      </c>
      <c r="D25" s="14" t="n">
        <v>2000</v>
      </c>
      <c r="E25" s="14" t="n">
        <v>330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Bowie, Triston</t>
        </is>
      </c>
      <c r="D26" s="14" t="n">
        <v>2300</v>
      </c>
      <c r="E26" s="14" t="n">
        <v>730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6" t="inlineStr">
        <is>
          <t>BUS#</t>
        </is>
      </c>
      <c r="B27" s="6" t="inlineStr">
        <is>
          <t>Relief</t>
        </is>
      </c>
      <c r="C27" s="18" t="inlineStr">
        <is>
          <t>BREAKER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7" t="inlineStr">
        <is>
          <t>Trade Day</t>
        </is>
      </c>
      <c r="H27" s="7" t="inlineStr">
        <is>
          <t>Trade Day</t>
        </is>
      </c>
      <c r="I27" s="7" t="inlineStr">
        <is>
          <t>Overtime</t>
        </is>
      </c>
      <c r="J27" s="7" t="inlineStr">
        <is>
          <t>Trade Day</t>
        </is>
      </c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Davis, Tonya</t>
        </is>
      </c>
      <c r="D28" s="14" t="n">
        <v>2000</v>
      </c>
      <c r="E28" s="14" t="n">
        <v>330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Wright, Steven</t>
        </is>
      </c>
      <c r="D29" s="14" t="n">
        <v>2100</v>
      </c>
      <c r="E29" s="14" t="n">
        <v>530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1">
      <c r="A31" s="20" t="inlineStr">
        <is>
          <t>NOTES (CALL OFFS, INCIDENTS, OPERATIONAL CHANGES, DETOURS)</t>
        </is>
      </c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21" t="inlineStr">
        <is>
          <t>HOURS SCHEDULED:</t>
        </is>
      </c>
      <c r="B35" s="5" t="n"/>
      <c r="C35" s="5" t="n"/>
      <c r="D35" s="5" t="n"/>
      <c r="E35" s="22" t="n">
        <v>118</v>
      </c>
      <c r="F35" s="5" t="n"/>
      <c r="G35" s="21" t="inlineStr">
        <is>
          <t>ADDITIONAL HOURS:</t>
        </is>
      </c>
      <c r="H35" s="5" t="n"/>
      <c r="I35" s="5" t="n"/>
      <c r="J35" s="5" t="n"/>
      <c r="K35" s="5" t="n"/>
      <c r="L35" s="21" t="inlineStr">
        <is>
          <t>TOTAL HOURS:</t>
        </is>
      </c>
      <c r="M35" s="5" t="n"/>
      <c r="N35" s="5" t="n"/>
      <c r="O35" s="22" t="n">
        <v>118</v>
      </c>
      <c r="P35" s="5" t="n"/>
      <c r="Q35" s="5" t="n"/>
      <c r="R35" s="5" t="n"/>
      <c r="S35" s="5" t="n"/>
      <c r="T35" s="5" t="n"/>
    </row>
    <row r="36">
      <c r="A36" s="21" t="inlineStr">
        <is>
          <t>EXPECTED HOURS</t>
        </is>
      </c>
      <c r="B36" s="5" t="n"/>
      <c r="C36" s="5" t="n"/>
      <c r="D36" s="5" t="n"/>
      <c r="E36" s="22" t="n">
        <v>305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</sheetData>
  <mergeCells count="16">
    <mergeCell ref="A5:T5"/>
    <mergeCell ref="K9:T9"/>
    <mergeCell ref="K12:O12"/>
    <mergeCell ref="P12:T12"/>
    <mergeCell ref="A6:T6"/>
    <mergeCell ref="A31:J31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4:T53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Day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Bush, Shayland</t>
        </is>
      </c>
      <c r="D16" s="14" t="n">
        <v>0</v>
      </c>
      <c r="E16" s="14" t="n">
        <v>830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Burton, Brandon</t>
        </is>
      </c>
      <c r="N16" s="14" t="n">
        <v>200</v>
      </c>
      <c r="O16" s="14" t="n">
        <v>1030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Reynolds, Thomas</t>
        </is>
      </c>
      <c r="D17" s="14" t="n">
        <v>0</v>
      </c>
      <c r="E17" s="14" t="n">
        <v>830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Winters, Dominique</t>
        </is>
      </c>
      <c r="N17" s="14" t="n">
        <v>700</v>
      </c>
      <c r="O17" s="14" t="n">
        <v>1430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Wissar, Jacob</t>
        </is>
      </c>
      <c r="D18" s="14" t="n">
        <v>100</v>
      </c>
      <c r="E18" s="14" t="n">
        <v>930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Basham, Mackolia</t>
        </is>
      </c>
      <c r="D19" s="14" t="n">
        <v>100</v>
      </c>
      <c r="E19" s="14" t="n">
        <v>930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Skinner, Talieya</t>
        </is>
      </c>
      <c r="D20" s="14" t="n">
        <v>200</v>
      </c>
      <c r="E20" s="14" t="n">
        <v>1030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Soto, Guadalupe</t>
        </is>
      </c>
      <c r="D21" s="14" t="n">
        <v>200</v>
      </c>
      <c r="E21" s="14" t="n">
        <v>1030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Moore, Gwendolyn</t>
        </is>
      </c>
      <c r="D22" s="14" t="n">
        <v>300</v>
      </c>
      <c r="E22" s="14" t="n">
        <v>1130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Paulk, Timmie</t>
        </is>
      </c>
      <c r="N22" s="14" t="n">
        <v>200</v>
      </c>
      <c r="O22" s="14" t="n">
        <v>1030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Farries, Natasha</t>
        </is>
      </c>
      <c r="D23" s="14" t="n">
        <v>300</v>
      </c>
      <c r="E23" s="14" t="n">
        <v>1130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>
        <is>
          <t>Dawson, Patty</t>
        </is>
      </c>
      <c r="N23" s="14" t="n">
        <v>300</v>
      </c>
      <c r="O23" s="14" t="n">
        <v>1030</v>
      </c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Aaron, Jonathan</t>
        </is>
      </c>
      <c r="D24" s="14" t="n">
        <v>400</v>
      </c>
      <c r="E24" s="14" t="n">
        <v>1230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>
        <is>
          <t>Broaden, Louise</t>
        </is>
      </c>
      <c r="N24" s="14" t="n">
        <v>500</v>
      </c>
      <c r="O24" s="14" t="n">
        <v>1330</v>
      </c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Smith, Rhazon</t>
        </is>
      </c>
      <c r="D25" s="14" t="n">
        <v>400</v>
      </c>
      <c r="E25" s="14" t="n">
        <v>1130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>
        <is>
          <t>Sherman, Regina</t>
        </is>
      </c>
      <c r="N25" s="14" t="n">
        <v>700</v>
      </c>
      <c r="O25" s="14" t="n">
        <v>1200</v>
      </c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Osorio, Erik</t>
        </is>
      </c>
      <c r="D26" s="14" t="n">
        <v>500</v>
      </c>
      <c r="E26" s="14" t="n">
        <v>1330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>
        <is>
          <t>Deshone, Sharion</t>
        </is>
      </c>
      <c r="N26" s="14" t="n">
        <v>800</v>
      </c>
      <c r="O26" s="14" t="n">
        <v>1530</v>
      </c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Morgan, Andre</t>
        </is>
      </c>
      <c r="D27" s="14" t="n">
        <v>500</v>
      </c>
      <c r="E27" s="14" t="n">
        <v>1330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>
        <is>
          <t>Moller, Baraat</t>
        </is>
      </c>
      <c r="N27" s="14" t="n">
        <v>1000</v>
      </c>
      <c r="O27" s="14" t="n">
        <v>1830</v>
      </c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Mills, Hiram</t>
        </is>
      </c>
      <c r="D28" s="14" t="n">
        <v>600</v>
      </c>
      <c r="E28" s="14" t="n">
        <v>1230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>
        <is>
          <t>Robinson, Kameelah</t>
        </is>
      </c>
      <c r="D29" s="14" t="n">
        <v>600</v>
      </c>
      <c r="E29" s="14" t="n">
        <v>1430</v>
      </c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Jackson, Rico</t>
        </is>
      </c>
      <c r="D30" s="14" t="n">
        <v>600</v>
      </c>
      <c r="E30" s="14" t="n">
        <v>1430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Ramos, Saul</t>
        </is>
      </c>
      <c r="D31" s="14" t="n">
        <v>700</v>
      </c>
      <c r="E31" s="14" t="n">
        <v>1530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Pawnell, Felicia</t>
        </is>
      </c>
      <c r="D32" s="14" t="n">
        <v>800</v>
      </c>
      <c r="E32" s="14" t="n">
        <v>1630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Gunderson, Maria</t>
        </is>
      </c>
      <c r="D33" s="14" t="n">
        <v>800</v>
      </c>
      <c r="E33" s="14" t="n">
        <v>1630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Davis, Dominique</t>
        </is>
      </c>
      <c r="D34" s="14" t="n">
        <v>900</v>
      </c>
      <c r="E34" s="14" t="n">
        <v>1630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Melgar, Arturo</t>
        </is>
      </c>
      <c r="D35" s="14" t="n">
        <v>900</v>
      </c>
      <c r="E35" s="14" t="n">
        <v>1730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Powers, Helen</t>
        </is>
      </c>
      <c r="D36" s="14" t="n">
        <v>900</v>
      </c>
      <c r="E36" s="14" t="n">
        <v>1630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12" t="inlineStr"/>
      <c r="B37" s="12" t="inlineStr"/>
      <c r="C37" s="13" t="inlineStr">
        <is>
          <t>Ramirez, Ruben</t>
        </is>
      </c>
      <c r="D37" s="14" t="n">
        <v>1000</v>
      </c>
      <c r="E37" s="14" t="n">
        <v>1830</v>
      </c>
      <c r="F37" s="15">
        <f>IF(AND(D37&lt;&gt;"",E37&lt;&gt;""),INT(IF(E37&lt;D37,24+(INT(E37/100)+MOD(E37,100)/60)-(INT(D37/100)+MOD(D37,100)/60),(INT(E37/100)+MOD(E37,100)/60)-(INT(D37/100)+MOD(D37,100)/60))),"")</f>
        <v/>
      </c>
      <c r="G37" s="12" t="inlineStr"/>
      <c r="H37" s="12" t="inlineStr"/>
      <c r="I37" s="12" t="inlineStr"/>
      <c r="J37" s="12" t="inlineStr"/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>
        <is>
          <t>Jones, Andre</t>
        </is>
      </c>
      <c r="D38" s="14" t="n">
        <v>1000</v>
      </c>
      <c r="E38" s="14" t="n">
        <v>1830</v>
      </c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6" t="inlineStr">
        <is>
          <t>BUS#</t>
        </is>
      </c>
      <c r="B39" s="6" t="inlineStr">
        <is>
          <t>Relief</t>
        </is>
      </c>
      <c r="C39" s="16" t="inlineStr">
        <is>
          <t>WEST LOT</t>
        </is>
      </c>
      <c r="D39" s="6" t="inlineStr">
        <is>
          <t>Start Time</t>
        </is>
      </c>
      <c r="E39" s="6" t="inlineStr">
        <is>
          <t>End Time</t>
        </is>
      </c>
      <c r="F39" s="6" t="inlineStr">
        <is>
          <t>Hours</t>
        </is>
      </c>
      <c r="G39" s="7" t="inlineStr">
        <is>
          <t>Trade Day</t>
        </is>
      </c>
      <c r="H39" s="7" t="inlineStr">
        <is>
          <t>Trade Day</t>
        </is>
      </c>
      <c r="I39" s="7" t="inlineStr">
        <is>
          <t>Overtime</t>
        </is>
      </c>
      <c r="J39" s="7" t="inlineStr">
        <is>
          <t>Trade Day</t>
        </is>
      </c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0">
      <c r="A40" s="12" t="inlineStr"/>
      <c r="B40" s="12" t="inlineStr"/>
      <c r="C40" s="13" t="inlineStr">
        <is>
          <t>Sterling, Akie</t>
        </is>
      </c>
      <c r="D40" s="14" t="n">
        <v>500</v>
      </c>
      <c r="E40" s="14" t="n">
        <v>1300</v>
      </c>
      <c r="F40" s="15">
        <f>IF(AND(D40&lt;&gt;"",E40&lt;&gt;""),INT(IF(E40&lt;D40,24+(INT(E40/100)+MOD(E40,100)/60)-(INT(D40/100)+MOD(D40,100)/60),(INT(E40/100)+MOD(E40,100)/60)-(INT(D40/100)+MOD(D40,100)/60))),"")</f>
        <v/>
      </c>
      <c r="G40" s="12" t="inlineStr"/>
      <c r="H40" s="12" t="inlineStr"/>
      <c r="I40" s="12" t="inlineStr"/>
      <c r="J40" s="12" t="inlineStr"/>
      <c r="K40" s="12" t="inlineStr"/>
      <c r="L40" s="12" t="inlineStr"/>
      <c r="M40" s="13" t="inlineStr"/>
      <c r="N40" s="14" t="inlineStr"/>
      <c r="O40" s="14" t="inlineStr"/>
      <c r="P40" s="15">
        <f>IF(AND(N40&lt;&gt;"",O40&lt;&gt;""),INT(IF(O40&lt;N40,24+(INT(O40/100)+MOD(O40,100)/60)-(INT(N40/100)+MOD(N40,100)/60),(INT(O40/100)+MOD(O40,100)/60)-(INT(N40/100)+MOD(N40,100)/60))),"")</f>
        <v/>
      </c>
      <c r="Q40" s="12" t="inlineStr"/>
      <c r="R40" s="12" t="inlineStr"/>
      <c r="S40" s="12" t="inlineStr"/>
      <c r="T40" s="12" t="inlineStr"/>
    </row>
    <row r="41">
      <c r="A41" s="12" t="inlineStr"/>
      <c r="B41" s="12" t="inlineStr"/>
      <c r="C41" s="13" t="inlineStr">
        <is>
          <t>Adair Jr, Cleophus</t>
        </is>
      </c>
      <c r="D41" s="14" t="n">
        <v>700</v>
      </c>
      <c r="E41" s="14" t="n">
        <v>1533</v>
      </c>
      <c r="F41" s="15">
        <f>IF(AND(D41&lt;&gt;"",E41&lt;&gt;""),INT(IF(E41&lt;D41,24+(INT(E41/100)+MOD(E41,100)/60)-(INT(D41/100)+MOD(D41,100)/60),(INT(E41/100)+MOD(E41,100)/60)-(INT(D41/100)+MOD(D41,100)/60))),"")</f>
        <v/>
      </c>
      <c r="G41" s="12" t="inlineStr"/>
      <c r="H41" s="12" t="inlineStr"/>
      <c r="I41" s="12" t="inlineStr"/>
      <c r="J41" s="12" t="inlineStr"/>
      <c r="K41" s="12" t="inlineStr"/>
      <c r="L41" s="12" t="inlineStr"/>
      <c r="M41" s="13" t="inlineStr"/>
      <c r="N41" s="14" t="inlineStr"/>
      <c r="O41" s="14" t="inlineStr"/>
      <c r="P41" s="15">
        <f>IF(AND(N41&lt;&gt;"",O41&lt;&gt;""),INT(IF(O41&lt;N41,24+(INT(O41/100)+MOD(O41,100)/60)-(INT(N41/100)+MOD(N41,100)/60),(INT(O41/100)+MOD(O41,100)/60)-(INT(N41/100)+MOD(N41,100)/60))),"")</f>
        <v/>
      </c>
      <c r="Q41" s="12" t="inlineStr"/>
      <c r="R41" s="12" t="inlineStr"/>
      <c r="S41" s="12" t="inlineStr"/>
      <c r="T41" s="12" t="inlineStr"/>
    </row>
    <row r="42">
      <c r="A42" s="12" t="inlineStr"/>
      <c r="B42" s="12" t="inlineStr"/>
      <c r="C42" s="13" t="inlineStr">
        <is>
          <t>Simmons, Meyoshi</t>
        </is>
      </c>
      <c r="D42" s="14" t="n">
        <v>800</v>
      </c>
      <c r="E42" s="14" t="n">
        <v>1530</v>
      </c>
      <c r="F42" s="15">
        <f>IF(AND(D42&lt;&gt;"",E42&lt;&gt;""),INT(IF(E42&lt;D42,24+(INT(E42/100)+MOD(E42,100)/60)-(INT(D42/100)+MOD(D42,100)/60),(INT(E42/100)+MOD(E42,100)/60)-(INT(D42/100)+MOD(D42,100)/60))),"")</f>
        <v/>
      </c>
      <c r="G42" s="12" t="inlineStr"/>
      <c r="H42" s="12" t="inlineStr"/>
      <c r="I42" s="12" t="inlineStr"/>
      <c r="J42" s="12" t="inlineStr"/>
      <c r="K42" s="12" t="inlineStr"/>
      <c r="L42" s="12" t="inlineStr"/>
      <c r="M42" s="13" t="inlineStr"/>
      <c r="N42" s="14" t="inlineStr"/>
      <c r="O42" s="14" t="inlineStr"/>
      <c r="P42" s="15">
        <f>IF(AND(N42&lt;&gt;"",O42&lt;&gt;""),INT(IF(O42&lt;N42,24+(INT(O42/100)+MOD(O42,100)/60)-(INT(N42/100)+MOD(N42,100)/60),(INT(O42/100)+MOD(O42,100)/60)-(INT(N42/100)+MOD(N42,100)/60))),"")</f>
        <v/>
      </c>
      <c r="Q42" s="12" t="inlineStr"/>
      <c r="R42" s="12" t="inlineStr"/>
      <c r="S42" s="12" t="inlineStr"/>
      <c r="T42" s="12" t="inlineStr"/>
    </row>
    <row r="43">
      <c r="A43" s="12" t="inlineStr"/>
      <c r="B43" s="12" t="inlineStr"/>
      <c r="C43" s="13" t="inlineStr">
        <is>
          <t>Mejia, Ernesto</t>
        </is>
      </c>
      <c r="D43" s="14" t="n">
        <v>1000</v>
      </c>
      <c r="E43" s="14" t="n">
        <v>1830</v>
      </c>
      <c r="F43" s="15">
        <f>IF(AND(D43&lt;&gt;"",E43&lt;&gt;""),INT(IF(E43&lt;D43,24+(INT(E43/100)+MOD(E43,100)/60)-(INT(D43/100)+MOD(D43,100)/60),(INT(E43/100)+MOD(E43,100)/60)-(INT(D43/100)+MOD(D43,100)/60))),"")</f>
        <v/>
      </c>
      <c r="G43" s="12" t="inlineStr"/>
      <c r="H43" s="12" t="inlineStr"/>
      <c r="I43" s="12" t="inlineStr"/>
      <c r="J43" s="12" t="inlineStr"/>
      <c r="K43" s="12" t="inlineStr"/>
      <c r="L43" s="12" t="inlineStr"/>
      <c r="M43" s="13" t="inlineStr"/>
      <c r="N43" s="14" t="inlineStr"/>
      <c r="O43" s="14" t="inlineStr"/>
      <c r="P43" s="15">
        <f>IF(AND(N43&lt;&gt;"",O43&lt;&gt;""),INT(IF(O43&lt;N43,24+(INT(O43/100)+MOD(O43,100)/60)-(INT(N43/100)+MOD(N43,100)/60),(INT(O43/100)+MOD(O43,100)/60)-(INT(N43/100)+MOD(N43,100)/60))),"")</f>
        <v/>
      </c>
      <c r="Q43" s="12" t="inlineStr"/>
      <c r="R43" s="12" t="inlineStr"/>
      <c r="S43" s="12" t="inlineStr"/>
      <c r="T43" s="12" t="inlineStr"/>
    </row>
    <row r="44">
      <c r="A44" s="6" t="inlineStr">
        <is>
          <t>BUS#</t>
        </is>
      </c>
      <c r="B44" s="6" t="inlineStr">
        <is>
          <t>Relief</t>
        </is>
      </c>
      <c r="C44" s="18" t="inlineStr">
        <is>
          <t>BREAKER</t>
        </is>
      </c>
      <c r="D44" s="6" t="inlineStr">
        <is>
          <t>Start Time</t>
        </is>
      </c>
      <c r="E44" s="6" t="inlineStr">
        <is>
          <t>End Time</t>
        </is>
      </c>
      <c r="F44" s="6" t="inlineStr">
        <is>
          <t>Hours</t>
        </is>
      </c>
      <c r="G44" s="7" t="inlineStr">
        <is>
          <t>Trade Day</t>
        </is>
      </c>
      <c r="H44" s="7" t="inlineStr">
        <is>
          <t>Trade Day</t>
        </is>
      </c>
      <c r="I44" s="7" t="inlineStr">
        <is>
          <t>Overtime</t>
        </is>
      </c>
      <c r="J44" s="7" t="inlineStr">
        <is>
          <t>Trade Day</t>
        </is>
      </c>
      <c r="K44" s="12" t="inlineStr"/>
      <c r="L44" s="12" t="inlineStr"/>
      <c r="M44" s="13" t="inlineStr"/>
      <c r="N44" s="14" t="inlineStr"/>
      <c r="O44" s="14" t="inlineStr"/>
      <c r="P44" s="15">
        <f>IF(AND(N44&lt;&gt;"",O44&lt;&gt;""),INT(IF(O44&lt;N44,24+(INT(O44/100)+MOD(O44,100)/60)-(INT(N44/100)+MOD(N44,100)/60),(INT(O44/100)+MOD(O44,100)/60)-(INT(N44/100)+MOD(N44,100)/60))),"")</f>
        <v/>
      </c>
      <c r="Q44" s="12" t="inlineStr"/>
      <c r="R44" s="12" t="inlineStr"/>
      <c r="S44" s="12" t="inlineStr"/>
      <c r="T44" s="12" t="inlineStr"/>
    </row>
    <row r="45">
      <c r="A45" s="12" t="inlineStr"/>
      <c r="B45" s="12" t="inlineStr"/>
      <c r="C45" s="13" t="inlineStr">
        <is>
          <t>Gonzalez, Maria</t>
        </is>
      </c>
      <c r="D45" s="14" t="n">
        <v>300</v>
      </c>
      <c r="E45" s="14" t="n">
        <v>1130</v>
      </c>
      <c r="F45" s="15">
        <f>IF(AND(D45&lt;&gt;"",E45&lt;&gt;""),INT(IF(E45&lt;D45,24+(INT(E45/100)+MOD(E45,100)/60)-(INT(D45/100)+MOD(D45,100)/60),(INT(E45/100)+MOD(E45,100)/60)-(INT(D45/100)+MOD(D45,100)/60))),"")</f>
        <v/>
      </c>
      <c r="G45" s="12" t="inlineStr"/>
      <c r="H45" s="12" t="inlineStr"/>
      <c r="I45" s="12" t="inlineStr"/>
      <c r="J45" s="12" t="inlineStr"/>
      <c r="K45" s="12" t="inlineStr"/>
      <c r="L45" s="12" t="inlineStr"/>
      <c r="M45" s="13" t="inlineStr"/>
      <c r="N45" s="14" t="inlineStr"/>
      <c r="O45" s="14" t="inlineStr"/>
      <c r="P45" s="15">
        <f>IF(AND(N45&lt;&gt;"",O45&lt;&gt;""),INT(IF(O45&lt;N45,24+(INT(O45/100)+MOD(O45,100)/60)-(INT(N45/100)+MOD(N45,100)/60),(INT(O45/100)+MOD(O45,100)/60)-(INT(N45/100)+MOD(N45,100)/60))),"")</f>
        <v/>
      </c>
      <c r="Q45" s="12" t="inlineStr"/>
      <c r="R45" s="12" t="inlineStr"/>
      <c r="S45" s="12" t="inlineStr"/>
      <c r="T45" s="12" t="inlineStr"/>
    </row>
    <row r="46">
      <c r="A46" s="12" t="inlineStr"/>
      <c r="B46" s="12" t="inlineStr"/>
      <c r="C46" s="13" t="inlineStr"/>
      <c r="D46" s="14" t="inlineStr"/>
      <c r="E46" s="14" t="inlineStr"/>
      <c r="F46" s="15">
        <f>IF(AND(D46&lt;&gt;"",E46&lt;&gt;""),INT(IF(E46&lt;D46,24+(INT(E46/100)+MOD(E46,100)/60)-(INT(D46/100)+MOD(D46,100)/60),(INT(E46/100)+MOD(E46,100)/60)-(INT(D46/100)+MOD(D46,100)/60))),"")</f>
        <v/>
      </c>
      <c r="G46" s="12" t="inlineStr"/>
      <c r="H46" s="12" t="inlineStr"/>
      <c r="I46" s="12" t="inlineStr"/>
      <c r="J46" s="12" t="inlineStr"/>
      <c r="K46" s="12" t="inlineStr"/>
      <c r="L46" s="12" t="inlineStr"/>
      <c r="M46" s="13" t="inlineStr"/>
      <c r="N46" s="14" t="inlineStr"/>
      <c r="O46" s="14" t="inlineStr"/>
      <c r="P46" s="15">
        <f>IF(AND(N46&lt;&gt;"",O46&lt;&gt;""),INT(IF(O46&lt;N46,24+(INT(O46/100)+MOD(O46,100)/60)-(INT(N46/100)+MOD(N46,100)/60),(INT(O46/100)+MOD(O46,100)/60)-(INT(N46/100)+MOD(N46,100)/60))),"")</f>
        <v/>
      </c>
      <c r="Q46" s="12" t="inlineStr"/>
      <c r="R46" s="12" t="inlineStr"/>
      <c r="S46" s="12" t="inlineStr"/>
      <c r="T46" s="12" t="inlineStr"/>
    </row>
    <row r="48">
      <c r="A48" s="20" t="inlineStr">
        <is>
          <t>NOTES (CALL OFFS, INCIDENTS, OPERATIONAL CHANGES, DETOURS)</t>
        </is>
      </c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21" t="inlineStr">
        <is>
          <t>HOURS SCHEDULED:</t>
        </is>
      </c>
      <c r="B52" s="5" t="n"/>
      <c r="C52" s="5" t="n"/>
      <c r="D52" s="5" t="n"/>
      <c r="E52" s="22" t="n">
        <v>274</v>
      </c>
      <c r="F52" s="5" t="n"/>
      <c r="G52" s="21" t="inlineStr">
        <is>
          <t>ADDITIONAL HOURS:</t>
        </is>
      </c>
      <c r="H52" s="5" t="n"/>
      <c r="I52" s="5" t="n"/>
      <c r="J52" s="5" t="n"/>
      <c r="K52" s="5" t="n"/>
      <c r="L52" s="21" t="inlineStr">
        <is>
          <t>TOTAL HOURS:</t>
        </is>
      </c>
      <c r="M52" s="5" t="n"/>
      <c r="N52" s="5" t="n"/>
      <c r="O52" s="22" t="n">
        <v>274</v>
      </c>
      <c r="P52" s="5" t="n"/>
      <c r="Q52" s="5" t="n"/>
      <c r="R52" s="5" t="n"/>
      <c r="S52" s="5" t="n"/>
      <c r="T52" s="5" t="n"/>
    </row>
    <row r="53">
      <c r="A53" s="21" t="inlineStr">
        <is>
          <t>EXPECTED HOURS</t>
        </is>
      </c>
      <c r="B53" s="5" t="n"/>
      <c r="C53" s="5" t="n"/>
      <c r="D53" s="5" t="n"/>
      <c r="E53" s="22" t="n">
        <v>305</v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A48:J48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4:T46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Swing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Pollard, Raymone</t>
        </is>
      </c>
      <c r="D16" s="14" t="n">
        <v>1100</v>
      </c>
      <c r="E16" s="14" t="n">
        <v>1730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Lee, Jaron</t>
        </is>
      </c>
      <c r="N16" s="14" t="n">
        <v>1700</v>
      </c>
      <c r="O16" s="14" t="n">
        <v>130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Williams, Sarah</t>
        </is>
      </c>
      <c r="D17" s="14" t="n">
        <v>1200</v>
      </c>
      <c r="E17" s="14" t="n">
        <v>2030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/>
      <c r="N17" s="14" t="inlineStr"/>
      <c r="O17" s="14" t="inlineStr"/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Le, Don</t>
        </is>
      </c>
      <c r="D18" s="14" t="n">
        <v>1300</v>
      </c>
      <c r="E18" s="14" t="n">
        <v>2130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6" t="inlineStr">
        <is>
          <t>BUS#</t>
        </is>
      </c>
      <c r="L18" s="6" t="inlineStr">
        <is>
          <t>Relief</t>
        </is>
      </c>
      <c r="M18" s="17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7" t="inlineStr">
        <is>
          <t>Trade Day</t>
        </is>
      </c>
      <c r="R18" s="7" t="inlineStr">
        <is>
          <t>Trade Day</t>
        </is>
      </c>
      <c r="S18" s="7" t="inlineStr">
        <is>
          <t>Overtime</t>
        </is>
      </c>
      <c r="T18" s="7" t="inlineStr">
        <is>
          <t>Trade Day</t>
        </is>
      </c>
    </row>
    <row r="19">
      <c r="A19" s="12" t="inlineStr"/>
      <c r="B19" s="12" t="inlineStr"/>
      <c r="C19" s="13" t="inlineStr">
        <is>
          <t>Lee, Shenwu</t>
        </is>
      </c>
      <c r="D19" s="14" t="n">
        <v>1300</v>
      </c>
      <c r="E19" s="14" t="n">
        <v>2130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/>
      <c r="N19" s="14" t="inlineStr"/>
      <c r="O19" s="14" t="inlineStr"/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Tejeda, Jose</t>
        </is>
      </c>
      <c r="D20" s="14" t="n">
        <v>1300</v>
      </c>
      <c r="E20" s="14" t="n">
        <v>2130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12" t="inlineStr"/>
      <c r="L20" s="12" t="inlineStr"/>
      <c r="M20" s="13" t="inlineStr"/>
      <c r="N20" s="14" t="inlineStr"/>
      <c r="O20" s="14" t="inlineStr"/>
      <c r="P20" s="15">
        <f>IF(AND(N20&lt;&gt;"",O20&lt;&gt;""),INT(IF(O20&lt;N20,24+(INT(O20/100)+MOD(O20,100)/60)-(INT(N20/100)+MOD(N20,100)/60),(INT(O20/100)+MOD(O20,100)/60)-(INT(N20/100)+MOD(N20,100)/60))),"")</f>
        <v/>
      </c>
      <c r="Q20" s="12" t="inlineStr"/>
      <c r="R20" s="12" t="inlineStr"/>
      <c r="S20" s="12" t="inlineStr"/>
      <c r="T20" s="12" t="inlineStr"/>
    </row>
    <row r="21">
      <c r="A21" s="12" t="inlineStr"/>
      <c r="B21" s="12" t="inlineStr"/>
      <c r="C21" s="13" t="inlineStr">
        <is>
          <t>Lopez, Daniel</t>
        </is>
      </c>
      <c r="D21" s="14" t="n">
        <v>1400</v>
      </c>
      <c r="E21" s="14" t="n">
        <v>2230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6" t="inlineStr">
        <is>
          <t>BUS#</t>
        </is>
      </c>
      <c r="L21" s="6" t="inlineStr">
        <is>
          <t>Relief</t>
        </is>
      </c>
      <c r="M21" s="19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7" t="inlineStr">
        <is>
          <t>Trade Day</t>
        </is>
      </c>
      <c r="R21" s="7" t="inlineStr">
        <is>
          <t>Trade Day</t>
        </is>
      </c>
      <c r="S21" s="7" t="inlineStr">
        <is>
          <t>Overtime</t>
        </is>
      </c>
      <c r="T21" s="7" t="inlineStr">
        <is>
          <t>Trade Day</t>
        </is>
      </c>
    </row>
    <row r="22">
      <c r="A22" s="12" t="inlineStr"/>
      <c r="B22" s="12" t="inlineStr"/>
      <c r="C22" s="13" t="inlineStr">
        <is>
          <t>Dixon, Shane</t>
        </is>
      </c>
      <c r="D22" s="14" t="n">
        <v>1400</v>
      </c>
      <c r="E22" s="14" t="n">
        <v>2230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>
        <is>
          <t>Harris, Clarence</t>
        </is>
      </c>
      <c r="N22" s="14" t="n">
        <v>1100</v>
      </c>
      <c r="O22" s="14" t="n">
        <v>1930</v>
      </c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Orrego, Tito</t>
        </is>
      </c>
      <c r="D23" s="14" t="n">
        <v>1400</v>
      </c>
      <c r="E23" s="14" t="n">
        <v>2230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12" t="inlineStr"/>
      <c r="L23" s="12" t="inlineStr"/>
      <c r="M23" s="13" t="inlineStr"/>
      <c r="N23" s="14" t="inlineStr"/>
      <c r="O23" s="14" t="inlineStr"/>
      <c r="P23" s="15">
        <f>IF(AND(N23&lt;&gt;"",O23&lt;&gt;""),INT(IF(O23&lt;N23,24+(INT(O23/100)+MOD(O23,100)/60)-(INT(N23/100)+MOD(N23,100)/60),(INT(O23/100)+MOD(O23,100)/60)-(INT(N23/100)+MOD(N23,100)/60))),"")</f>
        <v/>
      </c>
      <c r="Q23" s="12" t="inlineStr"/>
      <c r="R23" s="12" t="inlineStr"/>
      <c r="S23" s="12" t="inlineStr"/>
      <c r="T23" s="12" t="inlineStr"/>
    </row>
    <row r="24">
      <c r="A24" s="12" t="inlineStr"/>
      <c r="B24" s="12" t="inlineStr"/>
      <c r="C24" s="13" t="inlineStr">
        <is>
          <t>De Haro, Carlos</t>
        </is>
      </c>
      <c r="D24" s="14" t="n">
        <v>1500</v>
      </c>
      <c r="E24" s="14" t="n">
        <v>2330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12" t="inlineStr"/>
      <c r="B25" s="12" t="inlineStr"/>
      <c r="C25" s="13" t="inlineStr">
        <is>
          <t>Jacques, Maria</t>
        </is>
      </c>
      <c r="D25" s="14" t="n">
        <v>1500</v>
      </c>
      <c r="E25" s="14" t="n">
        <v>2330</v>
      </c>
      <c r="F25" s="15">
        <f>IF(AND(D25&lt;&gt;"",E25&lt;&gt;""),INT(IF(E25&lt;D25,24+(INT(E25/100)+MOD(E25,100)/60)-(INT(D25/100)+MOD(D25,100)/60),(INT(E25/100)+MOD(E25,100)/60)-(INT(D25/100)+MOD(D25,100)/60))),"")</f>
        <v/>
      </c>
      <c r="G25" s="12" t="inlineStr"/>
      <c r="H25" s="12" t="inlineStr"/>
      <c r="I25" s="12" t="inlineStr"/>
      <c r="J25" s="12" t="inlineStr"/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Kieng, Jeffrey</t>
        </is>
      </c>
      <c r="D26" s="14" t="n">
        <v>1600</v>
      </c>
      <c r="E26" s="14" t="n">
        <v>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Green, Darnell</t>
        </is>
      </c>
      <c r="D27" s="14" t="n">
        <v>1600</v>
      </c>
      <c r="E27" s="14" t="n">
        <v>2100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12" t="inlineStr"/>
      <c r="B28" s="12" t="inlineStr"/>
      <c r="C28" s="13" t="inlineStr">
        <is>
          <t>Bland, Kim</t>
        </is>
      </c>
      <c r="D28" s="14" t="n">
        <v>1800</v>
      </c>
      <c r="E28" s="14" t="n">
        <v>130</v>
      </c>
      <c r="F28" s="15">
        <f>IF(AND(D28&lt;&gt;"",E28&lt;&gt;""),INT(IF(E28&lt;D28,24+(INT(E28/100)+MOD(E28,100)/60)-(INT(D28/100)+MOD(D28,100)/60),(INT(E28/100)+MOD(E28,100)/60)-(INT(D28/100)+MOD(D28,100)/60))),"")</f>
        <v/>
      </c>
      <c r="G28" s="12" t="inlineStr"/>
      <c r="H28" s="12" t="inlineStr"/>
      <c r="I28" s="12" t="inlineStr"/>
      <c r="J28" s="12" t="inlineStr"/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6" t="inlineStr">
        <is>
          <t>BUS#</t>
        </is>
      </c>
      <c r="B29" s="6" t="inlineStr">
        <is>
          <t>Relief</t>
        </is>
      </c>
      <c r="C29" s="16" t="inlineStr">
        <is>
          <t>WEST LOT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7" t="inlineStr">
        <is>
          <t>Trade Day</t>
        </is>
      </c>
      <c r="H29" s="7" t="inlineStr">
        <is>
          <t>Trade Day</t>
        </is>
      </c>
      <c r="I29" s="7" t="inlineStr">
        <is>
          <t>Overtime</t>
        </is>
      </c>
      <c r="J29" s="7" t="inlineStr">
        <is>
          <t>Trade Day</t>
        </is>
      </c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>
        <is>
          <t>Gilliams, Tyetanisha</t>
        </is>
      </c>
      <c r="D30" s="14" t="n">
        <v>1100</v>
      </c>
      <c r="E30" s="14" t="n">
        <v>1730</v>
      </c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1">
      <c r="A31" s="12" t="inlineStr"/>
      <c r="B31" s="12" t="inlineStr"/>
      <c r="C31" s="13" t="inlineStr">
        <is>
          <t>Velasquez, Elizabeth</t>
        </is>
      </c>
      <c r="D31" s="14" t="n">
        <v>1200</v>
      </c>
      <c r="E31" s="14" t="n">
        <v>2030</v>
      </c>
      <c r="F31" s="15">
        <f>IF(AND(D31&lt;&gt;"",E31&lt;&gt;""),INT(IF(E31&lt;D31,24+(INT(E31/100)+MOD(E31,100)/60)-(INT(D31/100)+MOD(D31,100)/60),(INT(E31/100)+MOD(E31,100)/60)-(INT(D31/100)+MOD(D31,100)/60))),"")</f>
        <v/>
      </c>
      <c r="G31" s="12" t="inlineStr"/>
      <c r="H31" s="12" t="inlineStr"/>
      <c r="I31" s="12" t="inlineStr"/>
      <c r="J31" s="12" t="inlineStr"/>
      <c r="K31" s="12" t="inlineStr"/>
      <c r="L31" s="12" t="inlineStr"/>
      <c r="M31" s="13" t="inlineStr"/>
      <c r="N31" s="14" t="inlineStr"/>
      <c r="O31" s="14" t="inlineStr"/>
      <c r="P31" s="15">
        <f>IF(AND(N31&lt;&gt;"",O31&lt;&gt;""),INT(IF(O31&lt;N31,24+(INT(O31/100)+MOD(O31,100)/60)-(INT(N31/100)+MOD(N31,100)/60),(INT(O31/100)+MOD(O31,100)/60)-(INT(N31/100)+MOD(N31,100)/60))),"")</f>
        <v/>
      </c>
      <c r="Q31" s="12" t="inlineStr"/>
      <c r="R31" s="12" t="inlineStr"/>
      <c r="S31" s="12" t="inlineStr"/>
      <c r="T31" s="12" t="inlineStr"/>
    </row>
    <row r="32">
      <c r="A32" s="12" t="inlineStr"/>
      <c r="B32" s="12" t="inlineStr"/>
      <c r="C32" s="13" t="inlineStr">
        <is>
          <t>Stovall, Damon</t>
        </is>
      </c>
      <c r="D32" s="14" t="n">
        <v>1400</v>
      </c>
      <c r="E32" s="14" t="n">
        <v>2130</v>
      </c>
      <c r="F32" s="15">
        <f>IF(AND(D32&lt;&gt;"",E32&lt;&gt;""),INT(IF(E32&lt;D32,24+(INT(E32/100)+MOD(E32,100)/60)-(INT(D32/100)+MOD(D32,100)/60),(INT(E32/100)+MOD(E32,100)/60)-(INT(D32/100)+MOD(D32,100)/60))),"")</f>
        <v/>
      </c>
      <c r="G32" s="12" t="inlineStr"/>
      <c r="H32" s="12" t="inlineStr"/>
      <c r="I32" s="12" t="inlineStr"/>
      <c r="J32" s="12" t="inlineStr"/>
      <c r="K32" s="12" t="inlineStr"/>
      <c r="L32" s="12" t="inlineStr"/>
      <c r="M32" s="13" t="inlineStr"/>
      <c r="N32" s="14" t="inlineStr"/>
      <c r="O32" s="14" t="inlineStr"/>
      <c r="P32" s="15">
        <f>IF(AND(N32&lt;&gt;"",O32&lt;&gt;""),INT(IF(O32&lt;N32,24+(INT(O32/100)+MOD(O32,100)/60)-(INT(N32/100)+MOD(N32,100)/60),(INT(O32/100)+MOD(O32,100)/60)-(INT(N32/100)+MOD(N32,100)/60))),"")</f>
        <v/>
      </c>
      <c r="Q32" s="12" t="inlineStr"/>
      <c r="R32" s="12" t="inlineStr"/>
      <c r="S32" s="12" t="inlineStr"/>
      <c r="T32" s="12" t="inlineStr"/>
    </row>
    <row r="33">
      <c r="A33" s="12" t="inlineStr"/>
      <c r="B33" s="12" t="inlineStr"/>
      <c r="C33" s="13" t="inlineStr">
        <is>
          <t>Somoza, Jose</t>
        </is>
      </c>
      <c r="D33" s="14" t="n">
        <v>1700</v>
      </c>
      <c r="E33" s="14" t="n">
        <v>130</v>
      </c>
      <c r="F33" s="15">
        <f>IF(AND(D33&lt;&gt;"",E33&lt;&gt;""),INT(IF(E33&lt;D33,24+(INT(E33/100)+MOD(E33,100)/60)-(INT(D33/100)+MOD(D33,100)/60),(INT(E33/100)+MOD(E33,100)/60)-(INT(D33/100)+MOD(D33,100)/60))),"")</f>
        <v/>
      </c>
      <c r="G33" s="12" t="inlineStr"/>
      <c r="H33" s="12" t="inlineStr"/>
      <c r="I33" s="12" t="inlineStr"/>
      <c r="J33" s="12" t="inlineStr"/>
      <c r="K33" s="12" t="inlineStr"/>
      <c r="L33" s="12" t="inlineStr"/>
      <c r="M33" s="13" t="inlineStr"/>
      <c r="N33" s="14" t="inlineStr"/>
      <c r="O33" s="14" t="inlineStr"/>
      <c r="P33" s="15">
        <f>IF(AND(N33&lt;&gt;"",O33&lt;&gt;""),INT(IF(O33&lt;N33,24+(INT(O33/100)+MOD(O33,100)/60)-(INT(N33/100)+MOD(N33,100)/60),(INT(O33/100)+MOD(O33,100)/60)-(INT(N33/100)+MOD(N33,100)/60))),"")</f>
        <v/>
      </c>
      <c r="Q33" s="12" t="inlineStr"/>
      <c r="R33" s="12" t="inlineStr"/>
      <c r="S33" s="12" t="inlineStr"/>
      <c r="T33" s="12" t="inlineStr"/>
    </row>
    <row r="34">
      <c r="A34" s="12" t="inlineStr"/>
      <c r="B34" s="12" t="inlineStr"/>
      <c r="C34" s="13" t="inlineStr">
        <is>
          <t>Shaffer, Tanesha</t>
        </is>
      </c>
      <c r="D34" s="14" t="n">
        <v>1700</v>
      </c>
      <c r="E34" s="14" t="n">
        <v>30</v>
      </c>
      <c r="F34" s="15">
        <f>IF(AND(D34&lt;&gt;"",E34&lt;&gt;""),INT(IF(E34&lt;D34,24+(INT(E34/100)+MOD(E34,100)/60)-(INT(D34/100)+MOD(D34,100)/60),(INT(E34/100)+MOD(E34,100)/60)-(INT(D34/100)+MOD(D34,100)/60))),"")</f>
        <v/>
      </c>
      <c r="G34" s="12" t="inlineStr"/>
      <c r="H34" s="12" t="inlineStr"/>
      <c r="I34" s="12" t="inlineStr"/>
      <c r="J34" s="12" t="inlineStr"/>
      <c r="K34" s="12" t="inlineStr"/>
      <c r="L34" s="12" t="inlineStr"/>
      <c r="M34" s="13" t="inlineStr"/>
      <c r="N34" s="14" t="inlineStr"/>
      <c r="O34" s="14" t="inlineStr"/>
      <c r="P34" s="15">
        <f>IF(AND(N34&lt;&gt;"",O34&lt;&gt;""),INT(IF(O34&lt;N34,24+(INT(O34/100)+MOD(O34,100)/60)-(INT(N34/100)+MOD(N34,100)/60),(INT(O34/100)+MOD(O34,100)/60)-(INT(N34/100)+MOD(N34,100)/60))),"")</f>
        <v/>
      </c>
      <c r="Q34" s="12" t="inlineStr"/>
      <c r="R34" s="12" t="inlineStr"/>
      <c r="S34" s="12" t="inlineStr"/>
      <c r="T34" s="12" t="inlineStr"/>
    </row>
    <row r="35">
      <c r="A35" s="12" t="inlineStr"/>
      <c r="B35" s="12" t="inlineStr"/>
      <c r="C35" s="13" t="inlineStr">
        <is>
          <t>Acevedo, Miguel</t>
        </is>
      </c>
      <c r="D35" s="14" t="n">
        <v>1800</v>
      </c>
      <c r="E35" s="14" t="n">
        <v>230</v>
      </c>
      <c r="F35" s="15">
        <f>IF(AND(D35&lt;&gt;"",E35&lt;&gt;""),INT(IF(E35&lt;D35,24+(INT(E35/100)+MOD(E35,100)/60)-(INT(D35/100)+MOD(D35,100)/60),(INT(E35/100)+MOD(E35,100)/60)-(INT(D35/100)+MOD(D35,100)/60))),"")</f>
        <v/>
      </c>
      <c r="G35" s="12" t="inlineStr"/>
      <c r="H35" s="12" t="inlineStr"/>
      <c r="I35" s="12" t="inlineStr"/>
      <c r="J35" s="12" t="inlineStr"/>
      <c r="K35" s="12" t="inlineStr"/>
      <c r="L35" s="12" t="inlineStr"/>
      <c r="M35" s="13" t="inlineStr"/>
      <c r="N35" s="14" t="inlineStr"/>
      <c r="O35" s="14" t="inlineStr"/>
      <c r="P35" s="15">
        <f>IF(AND(N35&lt;&gt;"",O35&lt;&gt;""),INT(IF(O35&lt;N35,24+(INT(O35/100)+MOD(O35,100)/60)-(INT(N35/100)+MOD(N35,100)/60),(INT(O35/100)+MOD(O35,100)/60)-(INT(N35/100)+MOD(N35,100)/60))),"")</f>
        <v/>
      </c>
      <c r="Q35" s="12" t="inlineStr"/>
      <c r="R35" s="12" t="inlineStr"/>
      <c r="S35" s="12" t="inlineStr"/>
      <c r="T35" s="12" t="inlineStr"/>
    </row>
    <row r="36">
      <c r="A36" s="12" t="inlineStr"/>
      <c r="B36" s="12" t="inlineStr"/>
      <c r="C36" s="13" t="inlineStr">
        <is>
          <t>Freeman, Glenn</t>
        </is>
      </c>
      <c r="D36" s="14" t="n">
        <v>1800</v>
      </c>
      <c r="E36" s="14" t="n">
        <v>130</v>
      </c>
      <c r="F36" s="15">
        <f>IF(AND(D36&lt;&gt;"",E36&lt;&gt;""),INT(IF(E36&lt;D36,24+(INT(E36/100)+MOD(E36,100)/60)-(INT(D36/100)+MOD(D36,100)/60),(INT(E36/100)+MOD(E36,100)/60)-(INT(D36/100)+MOD(D36,100)/60))),"")</f>
        <v/>
      </c>
      <c r="G36" s="12" t="inlineStr"/>
      <c r="H36" s="12" t="inlineStr"/>
      <c r="I36" s="12" t="inlineStr"/>
      <c r="J36" s="12" t="inlineStr"/>
      <c r="K36" s="12" t="inlineStr"/>
      <c r="L36" s="12" t="inlineStr"/>
      <c r="M36" s="13" t="inlineStr"/>
      <c r="N36" s="14" t="inlineStr"/>
      <c r="O36" s="14" t="inlineStr"/>
      <c r="P36" s="15">
        <f>IF(AND(N36&lt;&gt;"",O36&lt;&gt;""),INT(IF(O36&lt;N36,24+(INT(O36/100)+MOD(O36,100)/60)-(INT(N36/100)+MOD(N36,100)/60),(INT(O36/100)+MOD(O36,100)/60)-(INT(N36/100)+MOD(N36,100)/60))),"")</f>
        <v/>
      </c>
      <c r="Q36" s="12" t="inlineStr"/>
      <c r="R36" s="12" t="inlineStr"/>
      <c r="S36" s="12" t="inlineStr"/>
      <c r="T36" s="12" t="inlineStr"/>
    </row>
    <row r="37">
      <c r="A37" s="6" t="inlineStr">
        <is>
          <t>BUS#</t>
        </is>
      </c>
      <c r="B37" s="6" t="inlineStr">
        <is>
          <t>Relief</t>
        </is>
      </c>
      <c r="C37" s="18" t="inlineStr">
        <is>
          <t>BREAKER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7" t="inlineStr">
        <is>
          <t>Trade Day</t>
        </is>
      </c>
      <c r="H37" s="7" t="inlineStr">
        <is>
          <t>Trade Day</t>
        </is>
      </c>
      <c r="I37" s="7" t="inlineStr">
        <is>
          <t>Overtime</t>
        </is>
      </c>
      <c r="J37" s="7" t="inlineStr">
        <is>
          <t>Trade Day</t>
        </is>
      </c>
      <c r="K37" s="12" t="inlineStr"/>
      <c r="L37" s="12" t="inlineStr"/>
      <c r="M37" s="13" t="inlineStr"/>
      <c r="N37" s="14" t="inlineStr"/>
      <c r="O37" s="14" t="inlineStr"/>
      <c r="P37" s="15">
        <f>IF(AND(N37&lt;&gt;"",O37&lt;&gt;""),INT(IF(O37&lt;N37,24+(INT(O37/100)+MOD(O37,100)/60)-(INT(N37/100)+MOD(N37,100)/60),(INT(O37/100)+MOD(O37,100)/60)-(INT(N37/100)+MOD(N37,100)/60))),"")</f>
        <v/>
      </c>
      <c r="Q37" s="12" t="inlineStr"/>
      <c r="R37" s="12" t="inlineStr"/>
      <c r="S37" s="12" t="inlineStr"/>
      <c r="T37" s="12" t="inlineStr"/>
    </row>
    <row r="38">
      <c r="A38" s="12" t="inlineStr"/>
      <c r="B38" s="12" t="inlineStr"/>
      <c r="C38" s="13" t="inlineStr"/>
      <c r="D38" s="14" t="inlineStr"/>
      <c r="E38" s="14" t="inlineStr"/>
      <c r="F38" s="15">
        <f>IF(AND(D38&lt;&gt;"",E38&lt;&gt;""),INT(IF(E38&lt;D38,24+(INT(E38/100)+MOD(E38,100)/60)-(INT(D38/100)+MOD(D38,100)/60),(INT(E38/100)+MOD(E38,100)/60)-(INT(D38/100)+MOD(D38,100)/60))),"")</f>
        <v/>
      </c>
      <c r="G38" s="12" t="inlineStr"/>
      <c r="H38" s="12" t="inlineStr"/>
      <c r="I38" s="12" t="inlineStr"/>
      <c r="J38" s="12" t="inlineStr"/>
      <c r="K38" s="12" t="inlineStr"/>
      <c r="L38" s="12" t="inlineStr"/>
      <c r="M38" s="13" t="inlineStr"/>
      <c r="N38" s="14" t="inlineStr"/>
      <c r="O38" s="14" t="inlineStr"/>
      <c r="P38" s="15">
        <f>IF(AND(N38&lt;&gt;"",O38&lt;&gt;""),INT(IF(O38&lt;N38,24+(INT(O38/100)+MOD(O38,100)/60)-(INT(N38/100)+MOD(N38,100)/60),(INT(O38/100)+MOD(O38,100)/60)-(INT(N38/100)+MOD(N38,100)/60))),"")</f>
        <v/>
      </c>
      <c r="Q38" s="12" t="inlineStr"/>
      <c r="R38" s="12" t="inlineStr"/>
      <c r="S38" s="12" t="inlineStr"/>
      <c r="T38" s="12" t="inlineStr"/>
    </row>
    <row r="39">
      <c r="A39" s="12" t="inlineStr"/>
      <c r="B39" s="12" t="inlineStr"/>
      <c r="C39" s="13" t="inlineStr"/>
      <c r="D39" s="14" t="inlineStr"/>
      <c r="E39" s="14" t="inlineStr"/>
      <c r="F39" s="15">
        <f>IF(AND(D39&lt;&gt;"",E39&lt;&gt;""),INT(IF(E39&lt;D39,24+(INT(E39/100)+MOD(E39,100)/60)-(INT(D39/100)+MOD(D39,100)/60),(INT(E39/100)+MOD(E39,100)/60)-(INT(D39/100)+MOD(D39,100)/60))),"")</f>
        <v/>
      </c>
      <c r="G39" s="12" t="inlineStr"/>
      <c r="H39" s="12" t="inlineStr"/>
      <c r="I39" s="12" t="inlineStr"/>
      <c r="J39" s="12" t="inlineStr"/>
      <c r="K39" s="12" t="inlineStr"/>
      <c r="L39" s="12" t="inlineStr"/>
      <c r="M39" s="13" t="inlineStr"/>
      <c r="N39" s="14" t="inlineStr"/>
      <c r="O39" s="14" t="inlineStr"/>
      <c r="P39" s="15">
        <f>IF(AND(N39&lt;&gt;"",O39&lt;&gt;""),INT(IF(O39&lt;N39,24+(INT(O39/100)+MOD(O39,100)/60)-(INT(N39/100)+MOD(N39,100)/60),(INT(O39/100)+MOD(O39,100)/60)-(INT(N39/100)+MOD(N39,100)/60))),"")</f>
        <v/>
      </c>
      <c r="Q39" s="12" t="inlineStr"/>
      <c r="R39" s="12" t="inlineStr"/>
      <c r="S39" s="12" t="inlineStr"/>
      <c r="T39" s="12" t="inlineStr"/>
    </row>
    <row r="41">
      <c r="A41" s="20" t="inlineStr">
        <is>
          <t>NOTES (CALL OFFS, INCIDENTS, OPERATIONAL CHANGES, DETOURS)</t>
        </is>
      </c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21" t="inlineStr">
        <is>
          <t>HOURS SCHEDULED:</t>
        </is>
      </c>
      <c r="B45" s="5" t="n"/>
      <c r="C45" s="5" t="n"/>
      <c r="D45" s="5" t="n"/>
      <c r="E45" s="22" t="n">
        <v>165</v>
      </c>
      <c r="F45" s="5" t="n"/>
      <c r="G45" s="21" t="inlineStr">
        <is>
          <t>ADDITIONAL HOURS:</t>
        </is>
      </c>
      <c r="H45" s="5" t="n"/>
      <c r="I45" s="5" t="n"/>
      <c r="J45" s="5" t="n"/>
      <c r="K45" s="5" t="n"/>
      <c r="L45" s="21" t="inlineStr">
        <is>
          <t>TOTAL HOURS:</t>
        </is>
      </c>
      <c r="M45" s="5" t="n"/>
      <c r="N45" s="5" t="n"/>
      <c r="O45" s="22" t="n">
        <v>165</v>
      </c>
      <c r="P45" s="5" t="n"/>
      <c r="Q45" s="5" t="n"/>
      <c r="R45" s="5" t="n"/>
      <c r="S45" s="5" t="n"/>
      <c r="T45" s="5" t="n"/>
    </row>
    <row r="46">
      <c r="A46" s="21" t="inlineStr">
        <is>
          <t>EXPECTED HOURS</t>
        </is>
      </c>
      <c r="B46" s="5" t="n"/>
      <c r="C46" s="5" t="n"/>
      <c r="D46" s="5" t="n"/>
      <c r="E46" s="22" t="n">
        <v>305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</sheetData>
  <mergeCells count="16">
    <mergeCell ref="A5:T5"/>
    <mergeCell ref="K9:T9"/>
    <mergeCell ref="K12:O12"/>
    <mergeCell ref="P12:T12"/>
    <mergeCell ref="A6:T6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  <mergeCell ref="A41:J41"/>
  </mergeCells>
  <pageMargins left="0.1" right="0.1" top="0.25" bottom="0.25" header="0.1" footer="0.1"/>
  <pageSetup orientation="portrait" paperSize="1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4:T37"/>
  <sheetViews>
    <sheetView workbookViewId="0">
      <selection activeCell="A1" sqref="A1"/>
    </sheetView>
  </sheetViews>
  <sheetFormatPr baseColWidth="8" defaultRowHeight="15"/>
  <cols>
    <col width="10.36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0.36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4">
      <c r="A4" s="1" t="inlineStr">
        <is>
          <t>ABM Parking Services</t>
        </is>
      </c>
    </row>
    <row r="5">
      <c r="A5" s="2" t="inlineStr">
        <is>
          <t>Los Angeles Employee Shuttle</t>
        </is>
      </c>
    </row>
    <row r="6">
      <c r="A6" s="2" t="inlineStr">
        <is>
          <t>Staffing Schedule</t>
        </is>
      </c>
    </row>
    <row r="7">
      <c r="A7" s="3" t="inlineStr">
        <is>
          <t>Shift:</t>
        </is>
      </c>
      <c r="B7" s="3" t="inlineStr">
        <is>
          <t>Graveyard</t>
        </is>
      </c>
      <c r="H7" s="3" t="inlineStr">
        <is>
          <t>DAY:</t>
        </is>
      </c>
      <c r="I7" s="3" t="inlineStr">
        <is>
          <t>Saturday</t>
        </is>
      </c>
      <c r="O7" s="3" t="inlineStr">
        <is>
          <t>Date:</t>
        </is>
      </c>
    </row>
    <row r="8">
      <c r="A8" s="4" t="inlineStr">
        <is>
          <t>MOD/Supervisor/Dispatcher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6" t="inlineStr">
        <is>
          <t>Start time</t>
        </is>
      </c>
      <c r="D9" s="6" t="inlineStr">
        <is>
          <t>End Time</t>
        </is>
      </c>
      <c r="E9" s="6" t="inlineStr">
        <is>
          <t>Hours</t>
        </is>
      </c>
      <c r="F9" s="7" t="inlineStr">
        <is>
          <t>Trade Day</t>
        </is>
      </c>
      <c r="G9" s="7" t="inlineStr">
        <is>
          <t>Trade Day</t>
        </is>
      </c>
      <c r="H9" s="7" t="inlineStr">
        <is>
          <t>Overtime</t>
        </is>
      </c>
      <c r="I9" s="7" t="inlineStr">
        <is>
          <t>Trade Day</t>
        </is>
      </c>
      <c r="K9" s="8" t="inlineStr">
        <is>
          <t>Absences/ Lates/ NCNS/ FMLA/ LOA/ VAC/ Suspension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9" t="inlineStr">
        <is>
          <t>MOD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inlineStr">
        <is>
          <t>Name</t>
        </is>
      </c>
      <c r="L10" s="5" t="n"/>
      <c r="M10" s="5" t="n"/>
      <c r="N10" s="5" t="n"/>
      <c r="O10" s="5" t="n"/>
      <c r="P10" s="6" t="inlineStr">
        <is>
          <t>Name</t>
        </is>
      </c>
      <c r="Q10" s="5" t="n"/>
      <c r="R10" s="5" t="n"/>
      <c r="S10" s="5" t="n"/>
      <c r="T10" s="5" t="n"/>
    </row>
    <row r="11">
      <c r="A11" s="9" t="inlineStr">
        <is>
          <t>SUPERVISOR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9" t="inlineStr">
        <is>
          <t>SUPERVISOR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9" t="inlineStr">
        <is>
          <t>AMBASSADOR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9" t="inlineStr">
        <is>
          <t>DISPATCHER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6" t="inlineStr">
        <is>
          <t>BUS#</t>
        </is>
      </c>
      <c r="B15" s="6" t="inlineStr">
        <is>
          <t>Relief</t>
        </is>
      </c>
      <c r="C15" s="10" t="inlineStr">
        <is>
          <t>EAST LOT</t>
        </is>
      </c>
      <c r="D15" s="6" t="inlineStr">
        <is>
          <t>Start Time</t>
        </is>
      </c>
      <c r="E15" s="6" t="inlineStr">
        <is>
          <t>End Time</t>
        </is>
      </c>
      <c r="F15" s="6" t="inlineStr">
        <is>
          <t>Hours</t>
        </is>
      </c>
      <c r="G15" s="7" t="inlineStr">
        <is>
          <t>Trade Day</t>
        </is>
      </c>
      <c r="H15" s="7" t="inlineStr">
        <is>
          <t>Trade Day</t>
        </is>
      </c>
      <c r="I15" s="7" t="inlineStr">
        <is>
          <t>Overtime</t>
        </is>
      </c>
      <c r="J15" s="7" t="inlineStr">
        <is>
          <t>Trade Day</t>
        </is>
      </c>
      <c r="K15" s="6" t="inlineStr">
        <is>
          <t>BUS#</t>
        </is>
      </c>
      <c r="L15" s="6" t="inlineStr">
        <is>
          <t>Relief</t>
        </is>
      </c>
      <c r="M15" s="11" t="inlineStr">
        <is>
          <t>SOUTH LOT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7" t="inlineStr">
        <is>
          <t>Trade Day</t>
        </is>
      </c>
      <c r="R15" s="7" t="inlineStr">
        <is>
          <t>Trade Day</t>
        </is>
      </c>
      <c r="S15" s="7" t="inlineStr">
        <is>
          <t>Overtime</t>
        </is>
      </c>
      <c r="T15" s="7" t="inlineStr">
        <is>
          <t>Trade Day</t>
        </is>
      </c>
    </row>
    <row r="16">
      <c r="A16" s="12" t="inlineStr"/>
      <c r="B16" s="12" t="inlineStr"/>
      <c r="C16" s="13" t="inlineStr">
        <is>
          <t>Dawson, Hakeem</t>
        </is>
      </c>
      <c r="D16" s="14" t="n">
        <v>1900</v>
      </c>
      <c r="E16" s="14" t="n">
        <v>330</v>
      </c>
      <c r="F16" s="15">
        <f>IF(AND(D16&lt;&gt;"",E16&lt;&gt;""),INT(IF(E16&lt;D16,24+(INT(E16/100)+MOD(E16,100)/60)-(INT(D16/100)+MOD(D16,100)/60),(INT(E16/100)+MOD(E16,100)/60)-(INT(D16/100)+MOD(D16,100)/60))),"")</f>
        <v/>
      </c>
      <c r="G16" s="12" t="inlineStr"/>
      <c r="H16" s="12" t="inlineStr"/>
      <c r="I16" s="12" t="inlineStr"/>
      <c r="J16" s="12" t="inlineStr"/>
      <c r="K16" s="12" t="inlineStr"/>
      <c r="L16" s="12" t="inlineStr"/>
      <c r="M16" s="13" t="inlineStr">
        <is>
          <t>Barbee, Maidest</t>
        </is>
      </c>
      <c r="N16" s="14" t="n">
        <v>2100</v>
      </c>
      <c r="O16" s="14" t="n">
        <v>530</v>
      </c>
      <c r="P16" s="15">
        <f>IF(AND(N16&lt;&gt;"",O16&lt;&gt;""),INT(IF(O16&lt;N16,24+(INT(O16/100)+MOD(O16,100)/60)-(INT(N16/100)+MOD(N16,100)/60),(INT(O16/100)+MOD(O16,100)/60)-(INT(N16/100)+MOD(N16,100)/60))),"")</f>
        <v/>
      </c>
      <c r="Q16" s="12" t="inlineStr"/>
      <c r="R16" s="12" t="inlineStr"/>
      <c r="S16" s="12" t="inlineStr"/>
      <c r="T16" s="12" t="inlineStr"/>
    </row>
    <row r="17">
      <c r="A17" s="12" t="inlineStr"/>
      <c r="B17" s="12" t="inlineStr"/>
      <c r="C17" s="13" t="inlineStr">
        <is>
          <t>Spenser, Purshane</t>
        </is>
      </c>
      <c r="D17" s="14" t="n">
        <v>1900</v>
      </c>
      <c r="E17" s="14" t="n">
        <v>230</v>
      </c>
      <c r="F17" s="15">
        <f>IF(AND(D17&lt;&gt;"",E17&lt;&gt;""),INT(IF(E17&lt;D17,24+(INT(E17/100)+MOD(E17,100)/60)-(INT(D17/100)+MOD(D17,100)/60),(INT(E17/100)+MOD(E17,100)/60)-(INT(D17/100)+MOD(D17,100)/60))),"")</f>
        <v/>
      </c>
      <c r="G17" s="12" t="inlineStr"/>
      <c r="H17" s="12" t="inlineStr"/>
      <c r="I17" s="12" t="inlineStr"/>
      <c r="J17" s="12" t="inlineStr"/>
      <c r="K17" s="12" t="inlineStr"/>
      <c r="L17" s="12" t="inlineStr"/>
      <c r="M17" s="13" t="inlineStr">
        <is>
          <t>Beamon, Letrice</t>
        </is>
      </c>
      <c r="N17" s="14" t="n">
        <v>2200</v>
      </c>
      <c r="O17" s="14" t="n">
        <v>200</v>
      </c>
      <c r="P17" s="15">
        <f>IF(AND(N17&lt;&gt;"",O17&lt;&gt;""),INT(IF(O17&lt;N17,24+(INT(O17/100)+MOD(O17,100)/60)-(INT(N17/100)+MOD(N17,100)/60),(INT(O17/100)+MOD(O17,100)/60)-(INT(N17/100)+MOD(N17,100)/60))),"")</f>
        <v/>
      </c>
      <c r="Q17" s="12" t="inlineStr"/>
      <c r="R17" s="12" t="inlineStr"/>
      <c r="S17" s="12" t="inlineStr"/>
      <c r="T17" s="12" t="inlineStr"/>
    </row>
    <row r="18">
      <c r="A18" s="12" t="inlineStr"/>
      <c r="B18" s="12" t="inlineStr"/>
      <c r="C18" s="13" t="inlineStr">
        <is>
          <t>Membreno, Irma</t>
        </is>
      </c>
      <c r="D18" s="14" t="n">
        <v>2000</v>
      </c>
      <c r="E18" s="14" t="n">
        <v>330</v>
      </c>
      <c r="F18" s="15">
        <f>IF(AND(D18&lt;&gt;"",E18&lt;&gt;""),INT(IF(E18&lt;D18,24+(INT(E18/100)+MOD(E18,100)/60)-(INT(D18/100)+MOD(D18,100)/60),(INT(E18/100)+MOD(E18,100)/60)-(INT(D18/100)+MOD(D18,100)/60))),"")</f>
        <v/>
      </c>
      <c r="G18" s="12" t="inlineStr"/>
      <c r="H18" s="12" t="inlineStr"/>
      <c r="I18" s="12" t="inlineStr"/>
      <c r="J18" s="12" t="inlineStr"/>
      <c r="K18" s="12" t="inlineStr"/>
      <c r="L18" s="12" t="inlineStr"/>
      <c r="M18" s="13" t="inlineStr">
        <is>
          <t>Williams, Lee</t>
        </is>
      </c>
      <c r="N18" s="14" t="n">
        <v>2200</v>
      </c>
      <c r="O18" s="14" t="n">
        <v>630</v>
      </c>
      <c r="P18" s="15">
        <f>IF(AND(N18&lt;&gt;"",O18&lt;&gt;""),INT(IF(O18&lt;N18,24+(INT(O18/100)+MOD(O18,100)/60)-(INT(N18/100)+MOD(N18,100)/60),(INT(O18/100)+MOD(O18,100)/60)-(INT(N18/100)+MOD(N18,100)/60))),"")</f>
        <v/>
      </c>
      <c r="Q18" s="12" t="inlineStr"/>
      <c r="R18" s="12" t="inlineStr"/>
      <c r="S18" s="12" t="inlineStr"/>
      <c r="T18" s="12" t="inlineStr"/>
    </row>
    <row r="19">
      <c r="A19" s="12" t="inlineStr"/>
      <c r="B19" s="12" t="inlineStr"/>
      <c r="C19" s="13" t="inlineStr">
        <is>
          <t>Sterling, James</t>
        </is>
      </c>
      <c r="D19" s="14" t="n">
        <v>2000</v>
      </c>
      <c r="E19" s="14" t="n">
        <v>230</v>
      </c>
      <c r="F19" s="15">
        <f>IF(AND(D19&lt;&gt;"",E19&lt;&gt;""),INT(IF(E19&lt;D19,24+(INT(E19/100)+MOD(E19,100)/60)-(INT(D19/100)+MOD(D19,100)/60),(INT(E19/100)+MOD(E19,100)/60)-(INT(D19/100)+MOD(D19,100)/60))),"")</f>
        <v/>
      </c>
      <c r="G19" s="12" t="inlineStr"/>
      <c r="H19" s="12" t="inlineStr"/>
      <c r="I19" s="12" t="inlineStr"/>
      <c r="J19" s="12" t="inlineStr"/>
      <c r="K19" s="12" t="inlineStr"/>
      <c r="L19" s="12" t="inlineStr"/>
      <c r="M19" s="13" t="inlineStr">
        <is>
          <t>Wilson, Shanon</t>
        </is>
      </c>
      <c r="N19" s="14" t="n">
        <v>2300</v>
      </c>
      <c r="O19" s="14" t="n">
        <v>730</v>
      </c>
      <c r="P19" s="15">
        <f>IF(AND(N19&lt;&gt;"",O19&lt;&gt;""),INT(IF(O19&lt;N19,24+(INT(O19/100)+MOD(O19,100)/60)-(INT(N19/100)+MOD(N19,100)/60),(INT(O19/100)+MOD(O19,100)/60)-(INT(N19/100)+MOD(N19,100)/60))),"")</f>
        <v/>
      </c>
      <c r="Q19" s="12" t="inlineStr"/>
      <c r="R19" s="12" t="inlineStr"/>
      <c r="S19" s="12" t="inlineStr"/>
      <c r="T19" s="12" t="inlineStr"/>
    </row>
    <row r="20">
      <c r="A20" s="12" t="inlineStr"/>
      <c r="B20" s="12" t="inlineStr"/>
      <c r="C20" s="13" t="inlineStr">
        <is>
          <t>Davis, Tonya</t>
        </is>
      </c>
      <c r="D20" s="14" t="n">
        <v>2000</v>
      </c>
      <c r="E20" s="14" t="n">
        <v>330</v>
      </c>
      <c r="F20" s="15">
        <f>IF(AND(D20&lt;&gt;"",E20&lt;&gt;""),INT(IF(E20&lt;D20,24+(INT(E20/100)+MOD(E20,100)/60)-(INT(D20/100)+MOD(D20,100)/60),(INT(E20/100)+MOD(E20,100)/60)-(INT(D20/100)+MOD(D20,100)/60))),"")</f>
        <v/>
      </c>
      <c r="G20" s="12" t="inlineStr"/>
      <c r="H20" s="12" t="inlineStr"/>
      <c r="I20" s="12" t="inlineStr"/>
      <c r="J20" s="12" t="inlineStr"/>
      <c r="K20" s="6" t="inlineStr">
        <is>
          <t>BUS#</t>
        </is>
      </c>
      <c r="L20" s="6" t="inlineStr">
        <is>
          <t>Relief</t>
        </is>
      </c>
      <c r="M20" s="17" t="inlineStr">
        <is>
          <t>CBC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7" t="inlineStr">
        <is>
          <t>Trade Day</t>
        </is>
      </c>
      <c r="R20" s="7" t="inlineStr">
        <is>
          <t>Trade Day</t>
        </is>
      </c>
      <c r="S20" s="7" t="inlineStr">
        <is>
          <t>Overtime</t>
        </is>
      </c>
      <c r="T20" s="7" t="inlineStr">
        <is>
          <t>Trade Day</t>
        </is>
      </c>
    </row>
    <row r="21">
      <c r="A21" s="12" t="inlineStr"/>
      <c r="B21" s="12" t="inlineStr"/>
      <c r="C21" s="13" t="inlineStr">
        <is>
          <t>Wright, Steven</t>
        </is>
      </c>
      <c r="D21" s="14" t="n">
        <v>2100</v>
      </c>
      <c r="E21" s="14" t="n">
        <v>530</v>
      </c>
      <c r="F21" s="15">
        <f>IF(AND(D21&lt;&gt;"",E21&lt;&gt;""),INT(IF(E21&lt;D21,24+(INT(E21/100)+MOD(E21,100)/60)-(INT(D21/100)+MOD(D21,100)/60),(INT(E21/100)+MOD(E21,100)/60)-(INT(D21/100)+MOD(D21,100)/60))),"")</f>
        <v/>
      </c>
      <c r="G21" s="12" t="inlineStr"/>
      <c r="H21" s="12" t="inlineStr"/>
      <c r="I21" s="12" t="inlineStr"/>
      <c r="J21" s="12" t="inlineStr"/>
      <c r="K21" s="12" t="inlineStr"/>
      <c r="L21" s="12" t="inlineStr"/>
      <c r="M21" s="13" t="inlineStr"/>
      <c r="N21" s="14" t="inlineStr"/>
      <c r="O21" s="14" t="inlineStr"/>
      <c r="P21" s="15">
        <f>IF(AND(N21&lt;&gt;"",O21&lt;&gt;""),INT(IF(O21&lt;N21,24+(INT(O21/100)+MOD(O21,100)/60)-(INT(N21/100)+MOD(N21,100)/60),(INT(O21/100)+MOD(O21,100)/60)-(INT(N21/100)+MOD(N21,100)/60))),"")</f>
        <v/>
      </c>
      <c r="Q21" s="12" t="inlineStr"/>
      <c r="R21" s="12" t="inlineStr"/>
      <c r="S21" s="12" t="inlineStr"/>
      <c r="T21" s="12" t="inlineStr"/>
    </row>
    <row r="22">
      <c r="A22" s="12" t="inlineStr"/>
      <c r="B22" s="12" t="inlineStr"/>
      <c r="C22" s="13" t="inlineStr">
        <is>
          <t>Adams, Lashonda</t>
        </is>
      </c>
      <c r="D22" s="14" t="n">
        <v>2100</v>
      </c>
      <c r="E22" s="14" t="n">
        <v>530</v>
      </c>
      <c r="F22" s="15">
        <f>IF(AND(D22&lt;&gt;"",E22&lt;&gt;""),INT(IF(E22&lt;D22,24+(INT(E22/100)+MOD(E22,100)/60)-(INT(D22/100)+MOD(D22,100)/60),(INT(E22/100)+MOD(E22,100)/60)-(INT(D22/100)+MOD(D22,100)/60))),"")</f>
        <v/>
      </c>
      <c r="G22" s="12" t="inlineStr"/>
      <c r="H22" s="12" t="inlineStr"/>
      <c r="I22" s="12" t="inlineStr"/>
      <c r="J22" s="12" t="inlineStr"/>
      <c r="K22" s="12" t="inlineStr"/>
      <c r="L22" s="12" t="inlineStr"/>
      <c r="M22" s="13" t="inlineStr"/>
      <c r="N22" s="14" t="inlineStr"/>
      <c r="O22" s="14" t="inlineStr"/>
      <c r="P22" s="15">
        <f>IF(AND(N22&lt;&gt;"",O22&lt;&gt;""),INT(IF(O22&lt;N22,24+(INT(O22/100)+MOD(O22,100)/60)-(INT(N22/100)+MOD(N22,100)/60),(INT(O22/100)+MOD(O22,100)/60)-(INT(N22/100)+MOD(N22,100)/60))),"")</f>
        <v/>
      </c>
      <c r="Q22" s="12" t="inlineStr"/>
      <c r="R22" s="12" t="inlineStr"/>
      <c r="S22" s="12" t="inlineStr"/>
      <c r="T22" s="12" t="inlineStr"/>
    </row>
    <row r="23">
      <c r="A23" s="12" t="inlineStr"/>
      <c r="B23" s="12" t="inlineStr"/>
      <c r="C23" s="13" t="inlineStr">
        <is>
          <t>Gales, Dianna</t>
        </is>
      </c>
      <c r="D23" s="14" t="n">
        <v>2200</v>
      </c>
      <c r="E23" s="14" t="n">
        <v>530</v>
      </c>
      <c r="F23" s="15">
        <f>IF(AND(D23&lt;&gt;"",E23&lt;&gt;""),INT(IF(E23&lt;D23,24+(INT(E23/100)+MOD(E23,100)/60)-(INT(D23/100)+MOD(D23,100)/60),(INT(E23/100)+MOD(E23,100)/60)-(INT(D23/100)+MOD(D23,100)/60))),"")</f>
        <v/>
      </c>
      <c r="G23" s="12" t="inlineStr"/>
      <c r="H23" s="12" t="inlineStr"/>
      <c r="I23" s="12" t="inlineStr"/>
      <c r="J23" s="12" t="inlineStr"/>
      <c r="K23" s="6" t="inlineStr">
        <is>
          <t>BUS#</t>
        </is>
      </c>
      <c r="L23" s="6" t="inlineStr">
        <is>
          <t>Relief</t>
        </is>
      </c>
      <c r="M23" s="19" t="inlineStr">
        <is>
          <t>BP LOT</t>
        </is>
      </c>
      <c r="N23" s="6" t="inlineStr">
        <is>
          <t>Start Time</t>
        </is>
      </c>
      <c r="O23" s="6" t="inlineStr">
        <is>
          <t>End Time</t>
        </is>
      </c>
      <c r="P23" s="6" t="inlineStr">
        <is>
          <t>Hours</t>
        </is>
      </c>
      <c r="Q23" s="7" t="inlineStr">
        <is>
          <t>Trade Day</t>
        </is>
      </c>
      <c r="R23" s="7" t="inlineStr">
        <is>
          <t>Trade Day</t>
        </is>
      </c>
      <c r="S23" s="7" t="inlineStr">
        <is>
          <t>Overtime</t>
        </is>
      </c>
      <c r="T23" s="7" t="inlineStr">
        <is>
          <t>Trade Day</t>
        </is>
      </c>
    </row>
    <row r="24">
      <c r="A24" s="12" t="inlineStr"/>
      <c r="B24" s="12" t="inlineStr"/>
      <c r="C24" s="13" t="inlineStr">
        <is>
          <t>Bowie, Triston</t>
        </is>
      </c>
      <c r="D24" s="14" t="n">
        <v>2300</v>
      </c>
      <c r="E24" s="14" t="n">
        <v>730</v>
      </c>
      <c r="F24" s="15">
        <f>IF(AND(D24&lt;&gt;"",E24&lt;&gt;""),INT(IF(E24&lt;D24,24+(INT(E24/100)+MOD(E24,100)/60)-(INT(D24/100)+MOD(D24,100)/60),(INT(E24/100)+MOD(E24,100)/60)-(INT(D24/100)+MOD(D24,100)/60))),"")</f>
        <v/>
      </c>
      <c r="G24" s="12" t="inlineStr"/>
      <c r="H24" s="12" t="inlineStr"/>
      <c r="I24" s="12" t="inlineStr"/>
      <c r="J24" s="12" t="inlineStr"/>
      <c r="K24" s="12" t="inlineStr"/>
      <c r="L24" s="12" t="inlineStr"/>
      <c r="M24" s="13" t="inlineStr"/>
      <c r="N24" s="14" t="inlineStr"/>
      <c r="O24" s="14" t="inlineStr"/>
      <c r="P24" s="15">
        <f>IF(AND(N24&lt;&gt;"",O24&lt;&gt;""),INT(IF(O24&lt;N24,24+(INT(O24/100)+MOD(O24,100)/60)-(INT(N24/100)+MOD(N24,100)/60),(INT(O24/100)+MOD(O24,100)/60)-(INT(N24/100)+MOD(N24,100)/60))),"")</f>
        <v/>
      </c>
      <c r="Q24" s="12" t="inlineStr"/>
      <c r="R24" s="12" t="inlineStr"/>
      <c r="S24" s="12" t="inlineStr"/>
      <c r="T24" s="12" t="inlineStr"/>
    </row>
    <row r="25">
      <c r="A25" s="6" t="inlineStr">
        <is>
          <t>BUS#</t>
        </is>
      </c>
      <c r="B25" s="6" t="inlineStr">
        <is>
          <t>Relief</t>
        </is>
      </c>
      <c r="C25" s="16" t="inlineStr">
        <is>
          <t>WEST LOT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7" t="inlineStr">
        <is>
          <t>Trade Day</t>
        </is>
      </c>
      <c r="H25" s="7" t="inlineStr">
        <is>
          <t>Trade Day</t>
        </is>
      </c>
      <c r="I25" s="7" t="inlineStr">
        <is>
          <t>Overtime</t>
        </is>
      </c>
      <c r="J25" s="7" t="inlineStr">
        <is>
          <t>Trade Day</t>
        </is>
      </c>
      <c r="K25" s="12" t="inlineStr"/>
      <c r="L25" s="12" t="inlineStr"/>
      <c r="M25" s="13" t="inlineStr"/>
      <c r="N25" s="14" t="inlineStr"/>
      <c r="O25" s="14" t="inlineStr"/>
      <c r="P25" s="15">
        <f>IF(AND(N25&lt;&gt;"",O25&lt;&gt;""),INT(IF(O25&lt;N25,24+(INT(O25/100)+MOD(O25,100)/60)-(INT(N25/100)+MOD(N25,100)/60),(INT(O25/100)+MOD(O25,100)/60)-(INT(N25/100)+MOD(N25,100)/60))),"")</f>
        <v/>
      </c>
      <c r="Q25" s="12" t="inlineStr"/>
      <c r="R25" s="12" t="inlineStr"/>
      <c r="S25" s="12" t="inlineStr"/>
      <c r="T25" s="12" t="inlineStr"/>
    </row>
    <row r="26">
      <c r="A26" s="12" t="inlineStr"/>
      <c r="B26" s="12" t="inlineStr"/>
      <c r="C26" s="13" t="inlineStr">
        <is>
          <t>Allen, Clarence</t>
        </is>
      </c>
      <c r="D26" s="14" t="n">
        <v>2100</v>
      </c>
      <c r="E26" s="14" t="n">
        <v>530</v>
      </c>
      <c r="F26" s="15">
        <f>IF(AND(D26&lt;&gt;"",E26&lt;&gt;""),INT(IF(E26&lt;D26,24+(INT(E26/100)+MOD(E26,100)/60)-(INT(D26/100)+MOD(D26,100)/60),(INT(E26/100)+MOD(E26,100)/60)-(INT(D26/100)+MOD(D26,100)/60))),"")</f>
        <v/>
      </c>
      <c r="G26" s="12" t="inlineStr"/>
      <c r="H26" s="12" t="inlineStr"/>
      <c r="I26" s="12" t="inlineStr"/>
      <c r="J26" s="12" t="inlineStr"/>
      <c r="K26" s="12" t="inlineStr"/>
      <c r="L26" s="12" t="inlineStr"/>
      <c r="M26" s="13" t="inlineStr"/>
      <c r="N26" s="14" t="inlineStr"/>
      <c r="O26" s="14" t="inlineStr"/>
      <c r="P26" s="15">
        <f>IF(AND(N26&lt;&gt;"",O26&lt;&gt;""),INT(IF(O26&lt;N26,24+(INT(O26/100)+MOD(O26,100)/60)-(INT(N26/100)+MOD(N26,100)/60),(INT(O26/100)+MOD(O26,100)/60)-(INT(N26/100)+MOD(N26,100)/60))),"")</f>
        <v/>
      </c>
      <c r="Q26" s="12" t="inlineStr"/>
      <c r="R26" s="12" t="inlineStr"/>
      <c r="S26" s="12" t="inlineStr"/>
      <c r="T26" s="12" t="inlineStr"/>
    </row>
    <row r="27">
      <c r="A27" s="12" t="inlineStr"/>
      <c r="B27" s="12" t="inlineStr"/>
      <c r="C27" s="13" t="inlineStr">
        <is>
          <t>Hunt, Tujuana</t>
        </is>
      </c>
      <c r="D27" s="14" t="n">
        <v>2300</v>
      </c>
      <c r="E27" s="14" t="n">
        <v>730</v>
      </c>
      <c r="F27" s="15">
        <f>IF(AND(D27&lt;&gt;"",E27&lt;&gt;""),INT(IF(E27&lt;D27,24+(INT(E27/100)+MOD(E27,100)/60)-(INT(D27/100)+MOD(D27,100)/60),(INT(E27/100)+MOD(E27,100)/60)-(INT(D27/100)+MOD(D27,100)/60))),"")</f>
        <v/>
      </c>
      <c r="G27" s="12" t="inlineStr"/>
      <c r="H27" s="12" t="inlineStr"/>
      <c r="I27" s="12" t="inlineStr"/>
      <c r="J27" s="12" t="inlineStr"/>
      <c r="K27" s="12" t="inlineStr"/>
      <c r="L27" s="12" t="inlineStr"/>
      <c r="M27" s="13" t="inlineStr"/>
      <c r="N27" s="14" t="inlineStr"/>
      <c r="O27" s="14" t="inlineStr"/>
      <c r="P27" s="15">
        <f>IF(AND(N27&lt;&gt;"",O27&lt;&gt;""),INT(IF(O27&lt;N27,24+(INT(O27/100)+MOD(O27,100)/60)-(INT(N27/100)+MOD(N27,100)/60),(INT(O27/100)+MOD(O27,100)/60)-(INT(N27/100)+MOD(N27,100)/60))),"")</f>
        <v/>
      </c>
      <c r="Q27" s="12" t="inlineStr"/>
      <c r="R27" s="12" t="inlineStr"/>
      <c r="S27" s="12" t="inlineStr"/>
      <c r="T27" s="12" t="inlineStr"/>
    </row>
    <row r="28">
      <c r="A28" s="6" t="inlineStr">
        <is>
          <t>BUS#</t>
        </is>
      </c>
      <c r="B28" s="6" t="inlineStr">
        <is>
          <t>Relief</t>
        </is>
      </c>
      <c r="C28" s="18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7" t="inlineStr">
        <is>
          <t>Trade Day</t>
        </is>
      </c>
      <c r="H28" s="7" t="inlineStr">
        <is>
          <t>Trade Day</t>
        </is>
      </c>
      <c r="I28" s="7" t="inlineStr">
        <is>
          <t>Overtime</t>
        </is>
      </c>
      <c r="J28" s="7" t="inlineStr">
        <is>
          <t>Trade Day</t>
        </is>
      </c>
      <c r="K28" s="12" t="inlineStr"/>
      <c r="L28" s="12" t="inlineStr"/>
      <c r="M28" s="13" t="inlineStr"/>
      <c r="N28" s="14" t="inlineStr"/>
      <c r="O28" s="14" t="inlineStr"/>
      <c r="P28" s="15">
        <f>IF(AND(N28&lt;&gt;"",O28&lt;&gt;""),INT(IF(O28&lt;N28,24+(INT(O28/100)+MOD(O28,100)/60)-(INT(N28/100)+MOD(N28,100)/60),(INT(O28/100)+MOD(O28,100)/60)-(INT(N28/100)+MOD(N28,100)/60))),"")</f>
        <v/>
      </c>
      <c r="Q28" s="12" t="inlineStr"/>
      <c r="R28" s="12" t="inlineStr"/>
      <c r="S28" s="12" t="inlineStr"/>
      <c r="T28" s="12" t="inlineStr"/>
    </row>
    <row r="29">
      <c r="A29" s="12" t="inlineStr"/>
      <c r="B29" s="12" t="inlineStr"/>
      <c r="C29" s="13" t="inlineStr"/>
      <c r="D29" s="14" t="inlineStr"/>
      <c r="E29" s="14" t="inlineStr"/>
      <c r="F29" s="15">
        <f>IF(AND(D29&lt;&gt;"",E29&lt;&gt;""),INT(IF(E29&lt;D29,24+(INT(E29/100)+MOD(E29,100)/60)-(INT(D29/100)+MOD(D29,100)/60),(INT(E29/100)+MOD(E29,100)/60)-(INT(D29/100)+MOD(D29,100)/60))),"")</f>
        <v/>
      </c>
      <c r="G29" s="12" t="inlineStr"/>
      <c r="H29" s="12" t="inlineStr"/>
      <c r="I29" s="12" t="inlineStr"/>
      <c r="J29" s="12" t="inlineStr"/>
      <c r="K29" s="12" t="inlineStr"/>
      <c r="L29" s="12" t="inlineStr"/>
      <c r="M29" s="13" t="inlineStr"/>
      <c r="N29" s="14" t="inlineStr"/>
      <c r="O29" s="14" t="inlineStr"/>
      <c r="P29" s="15">
        <f>IF(AND(N29&lt;&gt;"",O29&lt;&gt;""),INT(IF(O29&lt;N29,24+(INT(O29/100)+MOD(O29,100)/60)-(INT(N29/100)+MOD(N29,100)/60),(INT(O29/100)+MOD(O29,100)/60)-(INT(N29/100)+MOD(N29,100)/60))),"")</f>
        <v/>
      </c>
      <c r="Q29" s="12" t="inlineStr"/>
      <c r="R29" s="12" t="inlineStr"/>
      <c r="S29" s="12" t="inlineStr"/>
      <c r="T29" s="12" t="inlineStr"/>
    </row>
    <row r="30">
      <c r="A30" s="12" t="inlineStr"/>
      <c r="B30" s="12" t="inlineStr"/>
      <c r="C30" s="13" t="inlineStr"/>
      <c r="D30" s="14" t="inlineStr"/>
      <c r="E30" s="14" t="inlineStr"/>
      <c r="F30" s="15">
        <f>IF(AND(D30&lt;&gt;"",E30&lt;&gt;""),INT(IF(E30&lt;D30,24+(INT(E30/100)+MOD(E30,100)/60)-(INT(D30/100)+MOD(D30,100)/60),(INT(E30/100)+MOD(E30,100)/60)-(INT(D30/100)+MOD(D30,100)/60))),"")</f>
        <v/>
      </c>
      <c r="G30" s="12" t="inlineStr"/>
      <c r="H30" s="12" t="inlineStr"/>
      <c r="I30" s="12" t="inlineStr"/>
      <c r="J30" s="12" t="inlineStr"/>
      <c r="K30" s="12" t="inlineStr"/>
      <c r="L30" s="12" t="inlineStr"/>
      <c r="M30" s="13" t="inlineStr"/>
      <c r="N30" s="14" t="inlineStr"/>
      <c r="O30" s="14" t="inlineStr"/>
      <c r="P30" s="15">
        <f>IF(AND(N30&lt;&gt;"",O30&lt;&gt;""),INT(IF(O30&lt;N30,24+(INT(O30/100)+MOD(O30,100)/60)-(INT(N30/100)+MOD(N30,100)/60),(INT(O30/100)+MOD(O30,100)/60)-(INT(N30/100)+MOD(N30,100)/60))),"")</f>
        <v/>
      </c>
      <c r="Q30" s="12" t="inlineStr"/>
      <c r="R30" s="12" t="inlineStr"/>
      <c r="S30" s="12" t="inlineStr"/>
      <c r="T30" s="12" t="inlineStr"/>
    </row>
    <row r="32">
      <c r="A32" s="20" t="inlineStr">
        <is>
          <t>NOTES (CALL OFFS, INCIDENTS, OPERATIONAL CHANGES, DETOURS)</t>
        </is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21" t="inlineStr">
        <is>
          <t>HOURS SCHEDULED:</t>
        </is>
      </c>
      <c r="B36" s="5" t="n"/>
      <c r="C36" s="5" t="n"/>
      <c r="D36" s="5" t="n"/>
      <c r="E36" s="22" t="n">
        <v>110</v>
      </c>
      <c r="F36" s="5" t="n"/>
      <c r="G36" s="21" t="inlineStr">
        <is>
          <t>ADDITIONAL HOURS:</t>
        </is>
      </c>
      <c r="H36" s="5" t="n"/>
      <c r="I36" s="5" t="n"/>
      <c r="J36" s="5" t="n"/>
      <c r="K36" s="5" t="n"/>
      <c r="L36" s="21" t="inlineStr">
        <is>
          <t>TOTAL HOURS:</t>
        </is>
      </c>
      <c r="M36" s="5" t="n"/>
      <c r="N36" s="5" t="n"/>
      <c r="O36" s="22" t="n">
        <v>110</v>
      </c>
      <c r="P36" s="5" t="n"/>
      <c r="Q36" s="5" t="n"/>
      <c r="R36" s="5" t="n"/>
      <c r="S36" s="5" t="n"/>
      <c r="T36" s="5" t="n"/>
    </row>
    <row r="37">
      <c r="A37" s="21" t="inlineStr">
        <is>
          <t>EXPECTED HOURS</t>
        </is>
      </c>
      <c r="B37" s="5" t="n"/>
      <c r="C37" s="5" t="n"/>
      <c r="D37" s="5" t="n"/>
      <c r="E37" s="22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16">
    <mergeCell ref="A5:T5"/>
    <mergeCell ref="K9:T9"/>
    <mergeCell ref="K12:O12"/>
    <mergeCell ref="P12:T12"/>
    <mergeCell ref="A6:T6"/>
    <mergeCell ref="A32:J32"/>
    <mergeCell ref="K11:O11"/>
    <mergeCell ref="A4:T4"/>
    <mergeCell ref="K14:O14"/>
    <mergeCell ref="P11:T11"/>
    <mergeCell ref="K10:O10"/>
    <mergeCell ref="P10:T10"/>
    <mergeCell ref="K13:O13"/>
    <mergeCell ref="A8:E8"/>
    <mergeCell ref="P14:T14"/>
    <mergeCell ref="P13:T13"/>
  </mergeCells>
  <pageMargins left="0.1" right="0.1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2026-03-28T04:52:22Z</dcterms:created>
  <dcterms:modified xsi:type="dcterms:W3CDTF">2026-03-28T04:52:22Z</dcterms:modified>
</cp:coreProperties>
</file>